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mpt Map" sheetId="2" state="visible" r:id="rId4"/>
    <sheet name="Derivation Rules" sheetId="3" state="visible" r:id="rId5"/>
    <sheet name="Deal Properties" sheetId="4" state="visible" r:id="rId6"/>
    <sheet name="Year Resolver" sheetId="5" state="visible" r:id="rId7"/>
    <sheet name="Enum Values" sheetId="6" state="visible" r:id="rId8"/>
    <sheet name="Deal (Ontology)" sheetId="7" state="visible" r:id="rId9"/>
    <sheet name="Company" sheetId="8" state="visible" r:id="rId10"/>
    <sheet name="Contact" sheetId="9" state="visible" r:id="rId11"/>
    <sheet name="Ticket" sheetId="10" state="visible" r:id="rId12"/>
    <sheet name="Activities" sheetId="11" state="visible" r:id="rId13"/>
    <sheet name="HubSQL Rules" sheetId="12" state="visible" r:id="rId14"/>
    <sheet name="Product Distribution" sheetId="13" state="visible" r:id="rId15"/>
    <sheet name="Validated Queries" sheetId="14" state="visible" r:id="rId16"/>
  </sheets>
  <definedNames>
    <definedName function="false" hidden="true" localSheetId="10" name="_xlnm._FilterDatabase" vbProcedure="false">Activities!$A$1:$H$44</definedName>
    <definedName function="false" hidden="true" localSheetId="7" name="_xlnm._FilterDatabase" vbProcedure="false">Company!$A$1:$H$28</definedName>
    <definedName function="false" hidden="true" localSheetId="8" name="_xlnm._FilterDatabase" vbProcedure="false">Contact!$A$1:$H$25</definedName>
    <definedName function="false" hidden="true" localSheetId="6" name="_xlnm._FilterDatabase" vbProcedure="false">'Deal (Ontology)'!$A$1:$H$22</definedName>
    <definedName function="false" hidden="true" localSheetId="3" name="_xlnm._FilterDatabase" vbProcedure="false">'Deal Properties'!$A$1:$O$566</definedName>
    <definedName function="false" hidden="true" localSheetId="2" name="_xlnm._FilterDatabase" vbProcedure="false">'Derivation Rules'!$A$1:$D$12</definedName>
    <definedName function="false" hidden="true" localSheetId="5" name="_xlnm._FilterDatabase" vbProcedure="false">'Enum Values'!$A$1:$G$473</definedName>
    <definedName function="false" hidden="true" localSheetId="11" name="_xlnm._FilterDatabase" vbProcedure="false">'HubSQL Rules'!$A$1:$B$15</definedName>
    <definedName function="false" hidden="true" localSheetId="12" name="_xlnm._FilterDatabase" vbProcedure="false">'Product Distribution'!$A$1:$B$37</definedName>
    <definedName function="false" hidden="true" localSheetId="1" name="_xlnm._FilterDatabase" vbProcedure="false">'Prompt Map'!$A$1:$K$44</definedName>
    <definedName function="false" hidden="true" localSheetId="9" name="_xlnm._FilterDatabase" vbProcedure="false">Ticket!$A$1:$H$22</definedName>
    <definedName function="false" hidden="true" localSheetId="13" name="_xlnm._FilterDatabase" vbProcedure="false">'Validated Queries'!$A$1:$C$3</definedName>
    <definedName function="false" hidden="true" localSheetId="4" name="_xlnm._FilterDatabase" vbProcedure="false">'Year Resolver'!$A$1:$G$69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<sst xmlns="http://schemas.openxmlformats.org/spreadsheetml/2006/main" count="10968" uniqueCount="4546">
  <si>
    <t xml:space="preserve">HubSpot CRM — Prompt ↔ Property Map &amp; HubSQL Reference</t>
  </si>
  <si>
    <t xml:space="preserve">Captured 2026-09-14 from the live portal via the HubSpot MCP connector. Companion files: hubspot_crm_schema.json (factual schema), prompt_property_map.json (machine-readable intent map), Prompt_Resource.md (copy-paste prompts).</t>
  </si>
  <si>
    <t xml:space="preserve">WHY THIS EXISTS</t>
  </si>
  <si>
    <t xml:space="preserve">Asked for 'the number of QVault TPM + IoT associated deals', Breeze matched the deal NAME and returned 2. The governed property prod___product_name_new_ (label 'PROD - Product name(new)', description 'Please only use this property from now on') holds the product as an enumeration; the property-based count is 32 (plus 82 for 'QVault TPM'). Business users mean the PROPERTY. This workbook makes that derivation explicit for every property.</t>
  </si>
  <si>
    <t xml:space="preserve">SHEETS</t>
  </si>
  <si>
    <t xml:space="preserve">Prompt Map — 43 business intents → most probable property, derivation rule, confidence, alternates, traps, HubSQL, copy-paste prompt.</t>
  </si>
  <si>
    <t xml:space="preserve">Derivation Rules — the 11 rules (R1–R11) used to map an intent to a property.</t>
  </si>
  <si>
    <t xml:space="preserve">Deal Properties — ALL 565 deal properties (397 from search_properties + 168 hs_v2 stage-timing) with type, group, governance flag, keywords, example prompt and HubSQL. Filter 'governance' = USE for the business-facing set.</t>
  </si>
  <si>
    <t xml:space="preserve">Year Resolver — (metric, year) → internal name, resolved by LABEL. Red rows are recycled fields whose internal name year ≠ label year.</t>
  </si>
  <si>
    <t xml:space="preserve">Enum Values — every verified enumeration option (value → label), incl. pipelines, stages, owners, teams.</t>
  </si>
  <si>
    <t xml:space="preserve">Company / Contact / Ticket / Activities — ontology fields with live-verification status; NOT FOUND rows flag ontology drift.</t>
  </si>
  <si>
    <t xml:space="preserve">HubSQL Rules — the dialect constraints of HubSpot's query_crm_data (HubSQL).</t>
  </si>
  <si>
    <t xml:space="preserve">Product Distribution — live GROUP BY on prod___product_name_new_ (proof of the 32 vs 2 gap).</t>
  </si>
  <si>
    <t xml:space="preserve">Validated Queries — what was actually run and what came back.</t>
  </si>
  <si>
    <t xml:space="preserve">COLOUR LEGEND</t>
  </si>
  <si>
    <t xml:space="preserve">Orange = recycled / drift trap (label ≠ name)  ·  Yellow = legacy (ICALPS or 2021-2023 monthly forecast)  ·  Grey = DO NOT USE / test  ·  Green = live-verified</t>
  </si>
  <si>
    <t xml:space="preserve">HOW A BUSINESS USER SHOULD PROMPT</t>
  </si>
  <si>
    <t xml:space="preserve">1. Name the object (deals / companies / contacts / tickets).  2. Name the PROPERTY by its label or internal name (copy it from this workbook).  3. Give the exact enum value.  4. State the money field (amount_in_home_currency) and the time window.  Example: "Count deals where prod___product_name_new_ = 'QVault TPM IOT' and hs_is_closed = false; also SUM(amount_in_home_currency)."</t>
  </si>
  <si>
    <t xml:space="preserve">CAVEATS</t>
  </si>
  <si>
    <t xml:space="preserve">• Types marked 'inferred from label' were not fetched with get_properties — confirm before filtering on them.  • hs_language and industry enums are abbreviated (standard HubSpot lists).  • Activity objects (CALL/MEETING/NOTE/TASK) come from the ontology and were not re-verified live.  • Owner and team IDs are portal-specific.</t>
  </si>
  <si>
    <t xml:space="preserve">id</t>
  </si>
  <si>
    <t xml:space="preserve">intent</t>
  </si>
  <si>
    <t xml:space="preserve">trigger_tokens</t>
  </si>
  <si>
    <t xml:space="preserve">object</t>
  </si>
  <si>
    <t xml:space="preserve">property</t>
  </si>
  <si>
    <t xml:space="preserve">derivation_rule</t>
  </si>
  <si>
    <t xml:space="preserve">confidence</t>
  </si>
  <si>
    <t xml:space="preserve">alternates</t>
  </si>
  <si>
    <t xml:space="preserve">trap_never_use</t>
  </si>
  <si>
    <t xml:space="preserve">hubsql</t>
  </si>
  <si>
    <t xml:space="preserve">copy_paste_prompt</t>
  </si>
  <si>
    <t xml:space="preserve">P01</t>
  </si>
  <si>
    <t xml:space="preserve">Count / list deals for a specific product SKU (e.g. QVault TPM IoT, INES, VIC408, QS7001)</t>
  </si>
  <si>
    <t xml:space="preserve">qvault, tpm iot, ines, vic4xx, vic1xx, vic2xx, qs7001, scr, ms600x, sealbox, nanoseal, sealcoin, wise.sat, nre, oci, pki/gsma</t>
  </si>
  <si>
    <t xml:space="preserve">DEAL</t>
  </si>
  <si>
    <t xml:space="preserve">prod___product_name_new_ (PROD - Product name(new))</t>
  </si>
  <si>
    <t xml:space="preserve">R1 enum-value match + R3 governance</t>
  </si>
  <si>
    <t xml:space="preserve">HIGH</t>
  </si>
  <si>
    <t xml:space="preserve">product_hierarchy (family), product_line (line), tpm_qvault___qs7001___ip__ (IP flag), hs_num_of_associated_line_items (HubSpot product library)</t>
  </si>
  <si>
    <t xml:space="preserve">dealname LIKE — under-counts (2 vs 32). product_name (exception only). solution_family__new_ (DO NOT USE).</t>
  </si>
  <si>
    <t xml:space="preserve">SELECT COUNT(*) FROM DEAL WHERE prod___product_name_new_ = 'QVault TPM IOT'</t>
  </si>
  <si>
    <t xml:space="preserve">Count the deals whose property prod___product_name_new_ (PROD - Product name(new)) equals 'QVault TPM IOT'. Use the property, not the deal name. Also give me the count for 'QVault TPM' separately.</t>
  </si>
  <si>
    <t xml:space="preserve">P02</t>
  </si>
  <si>
    <t xml:space="preserve">Deals by product family / hierarchy (SCR, VIC, TPM, PKI, ASIC, CISCO, MS600x)</t>
  </si>
  <si>
    <t xml:space="preserve">product family, family, hierarchy, all tpm products, all vic</t>
  </si>
  <si>
    <t xml:space="preserve">product_hierarchy</t>
  </si>
  <si>
    <t xml:space="preserve">R1 + R11 (family level named)</t>
  </si>
  <si>
    <t xml:space="preserve">product_line, prod___product_name_new_</t>
  </si>
  <si>
    <t xml:space="preserve">dealname LIKE</t>
  </si>
  <si>
    <t xml:space="preserve">SELECT product_hierarchy, COUNT(*), SUM(amount_in_home_currency) FROM DEAL WHERE hs_is_closed = false GROUP BY product_hierarchy</t>
  </si>
  <si>
    <t xml:space="preserve">Group open deals by product_hierarchy with count and SUM(amount_in_home_currency).</t>
  </si>
  <si>
    <t xml:space="preserve">P03</t>
  </si>
  <si>
    <t xml:space="preserve">Deals by product line (ASIC / Quantum Shield / PKI / TPM / Legacy)</t>
  </si>
  <si>
    <t xml:space="preserve">product line, quantum shield, line</t>
  </si>
  <si>
    <t xml:space="preserve">product_line</t>
  </si>
  <si>
    <t xml:space="preserve">R1/R2</t>
  </si>
  <si>
    <t xml:space="preserve">product_hierarchy, prod___product_name_new_</t>
  </si>
  <si>
    <t xml:space="preserve">product_line__opp_ (free text duplicate)</t>
  </si>
  <si>
    <t xml:space="preserve">SELECT product_line, SUM(hs_projected_amount_in_home_currency) FROM DEAL WHERE hs_is_closed = false GROUP BY product_line</t>
  </si>
  <si>
    <t xml:space="preserve">Weighted open pipeline by product_line using hs_projected_amount_in_home_currency.</t>
  </si>
  <si>
    <t xml:space="preserve">P04</t>
  </si>
  <si>
    <t xml:space="preserve">Service deals (NRE, PKI service, digital signature, FTK, pre-study, satellite service, quantum service)</t>
  </si>
  <si>
    <t xml:space="preserve">service, nre, pki service, ssl, ftk, pre-study, satellite, digital signature</t>
  </si>
  <si>
    <t xml:space="preserve">service_name</t>
  </si>
  <si>
    <t xml:space="preserve">R1</t>
  </si>
  <si>
    <t xml:space="preserve">pipeline = SealSQ Services (13772279) / Wisekey Services + PKI (40296576)</t>
  </si>
  <si>
    <t xml:space="preserve">dealname LIKE '%service%'</t>
  </si>
  <si>
    <t xml:space="preserve">SELECT service_name, COUNT(*), SUM(amount_in_home_currency) FROM DEAL GROUP BY service_name</t>
  </si>
  <si>
    <t xml:space="preserve">Break down deals by service_name with count and SUM(amount_in_home_currency).</t>
  </si>
  <si>
    <t xml:space="preserve">P05</t>
  </si>
  <si>
    <t xml:space="preserve">Is TPM / QVault / QS7001 IP involved?</t>
  </si>
  <si>
    <t xml:space="preserve">ip, ip licensing, tpm ip</t>
  </si>
  <si>
    <t xml:space="preserve">tpm_qvault___qs7001___ip__</t>
  </si>
  <si>
    <t xml:space="preserve">R2</t>
  </si>
  <si>
    <t xml:space="preserve">MEDIUM</t>
  </si>
  <si>
    <t xml:space="preserve">prod___product_name_new_</t>
  </si>
  <si>
    <t xml:space="preserve">SELECT COUNT(*) FROM DEAL WHERE tpm_qvault___qs7001___ip__ = 'Yes'</t>
  </si>
  <si>
    <t xml:space="preserve">Count deals where tpm_qvault___qs7001___ip__ = 'Yes'.</t>
  </si>
  <si>
    <t xml:space="preserve">P06</t>
  </si>
  <si>
    <t xml:space="preserve">Deals per pipeline / business unit</t>
  </si>
  <si>
    <t xml:space="preserve">pipeline, business unit, bu, sealsq hardware, sealsq services, wisekey, wise.sat, sealcoin, icalps, quantum &amp; ai</t>
  </si>
  <si>
    <t xml:space="preserve">pipeline</t>
  </si>
  <si>
    <t xml:space="preserve">R1 (pipeline labels are enum labels; filter by ID)</t>
  </si>
  <si>
    <t xml:space="preserve">icalps__sealsq, wisekey___seal</t>
  </si>
  <si>
    <t xml:space="preserve">pipeline2021..2026 (legacy flags)</t>
  </si>
  <si>
    <t xml:space="preserve">SELECT pipeline, COUNT(*), SUM(amount_in_home_currency) FROM DEAL WHERE hs_is_closed = false GROUP BY pipeline</t>
  </si>
  <si>
    <t xml:space="preserve">Open deals per pipeline (count + SUM(amount_in_home_currency)). Map pipeline IDs to labels: 12096408 SealSQ Hardware, 13772279 SealSQ Services, 40296576 Wisekey Services + PKI, 875072356 Wise.Sat, 705868909 SEALCOIN, 766126206 Icalps_hardware, 934982230 Quantum &amp; AI.</t>
  </si>
  <si>
    <t xml:space="preserve">P07</t>
  </si>
  <si>
    <t xml:space="preserve">Deals in a named stage (Identified / Qualified / Design In / Design Win / Closed Won / Lost / Dead / On-Hold / Negociating / PO Sent)</t>
  </si>
  <si>
    <t xml:space="preserve">stage, design win, design in, identified, qualified, on hold, negotiating, po sent</t>
  </si>
  <si>
    <t xml:space="preserve">dealstage (pipeline-specific IDs)</t>
  </si>
  <si>
    <t xml:space="preserve">R1 + R6</t>
  </si>
  <si>
    <t xml:space="preserve">hs_is_closed_won / hs_is_closed_lost for won/lost; identified_date/qualified_date/design_in_date/design_win_date for 'when'</t>
  </si>
  <si>
    <t xml:space="preserve">Stage label alone is ambiguous — 'Design Win' = 12096412 | 31868514 | 85103755 | 1311252062 | 1031449004 | 1116419647</t>
  </si>
  <si>
    <t xml:space="preserve">SELECT dealstage, COUNT(*) FROM DEAL WHERE hs_is_closed = false GROUP BY dealstage</t>
  </si>
  <si>
    <t xml:space="preserve">Count open deals per dealstage and translate the stage IDs to '&lt;stage&gt; (&lt;pipeline&gt;)' labels. If I name one stage without a pipeline, include all pipelines' IDs for that stage.</t>
  </si>
  <si>
    <t xml:space="preserve">P08</t>
  </si>
  <si>
    <t xml:space="preserve">Open / active deals</t>
  </si>
  <si>
    <t xml:space="preserve">open, active, in flight, current pipeline</t>
  </si>
  <si>
    <t xml:space="preserve">hs_is_closed = false</t>
  </si>
  <si>
    <t xml:space="preserve">R6</t>
  </si>
  <si>
    <t xml:space="preserve">hs_is_open_count = 1</t>
  </si>
  <si>
    <t xml:space="preserve">dealstage NOT IN ('closedwon','closedlost') — those generic IDs do not exist in this portal</t>
  </si>
  <si>
    <t xml:space="preserve">SELECT COUNT(*), SUM(amount_in_home_currency) FROM DEAL WHERE hs_is_closed = false</t>
  </si>
  <si>
    <t xml:space="preserve">Count and total (amount_in_home_currency) of deals where hs_is_closed = false.</t>
  </si>
  <si>
    <t xml:space="preserve">P09</t>
  </si>
  <si>
    <t xml:space="preserve">Won deals / bookings / revenue won</t>
  </si>
  <si>
    <t xml:space="preserve">won, closed won, bookings, wins</t>
  </si>
  <si>
    <t xml:space="preserve">hs_is_closed_won = true</t>
  </si>
  <si>
    <t xml:space="preserve">closed_won_date (custom milestone), hs_closed_won_count</t>
  </si>
  <si>
    <t xml:space="preserve">dealstage = 'Closed Won' (6 different IDs)</t>
  </si>
  <si>
    <t xml:space="preserve">SELECT SUM(amount_in_home_currency) FROM DEAL WHERE hs_is_closed_won = true AND closedate BETWEEN '2026-01-01' AND '2026-12-31'</t>
  </si>
  <si>
    <t xml:space="preserve">Total won revenue in 2026: SUM(amount_in_home_currency) where hs_is_closed_won = true and closedate in 2026.</t>
  </si>
  <si>
    <t xml:space="preserve">P10</t>
  </si>
  <si>
    <t xml:space="preserve">Lost / dead deals and why</t>
  </si>
  <si>
    <t xml:space="preserve">lost, dead, why lost, loss reasons, churn</t>
  </si>
  <si>
    <t xml:space="preserve">hs_is_closed_lost = true → stratification_of_lost_deals</t>
  </si>
  <si>
    <t xml:space="preserve">R6 + R1</t>
  </si>
  <si>
    <t xml:space="preserve">closed_lost_reason (free text), closed_lost_date, closed_dead_date, amount_lost (label 'Weighted2027[BI]' — recycled!)</t>
  </si>
  <si>
    <t xml:space="preserve">amount_lost is NOT 'amount lost' — its label is Weighted2027[BI]</t>
  </si>
  <si>
    <t xml:space="preserve">SELECT stratification_of_lost_deals, COUNT(*), SUM(amount_in_home_currency) FROM DEAL WHERE hs_is_closed_lost = true GROUP BY stratification_of_lost_deals</t>
  </si>
  <si>
    <t xml:space="preserve">For deals with hs_is_closed_lost = true, group by stratification_of_lost_deals with count and SUM(amount_in_home_currency).</t>
  </si>
  <si>
    <t xml:space="preserve">P11</t>
  </si>
  <si>
    <t xml:space="preserve">Pipeline value / total revenue / how much</t>
  </si>
  <si>
    <t xml:space="preserve">how much, value, revenue, total, $, k$, worth</t>
  </si>
  <si>
    <t xml:space="preserve">amount_in_home_currency</t>
  </si>
  <si>
    <t xml:space="preserve">R5</t>
  </si>
  <si>
    <t xml:space="preserve">hs_projected_amount_in_home_currency (weighted), amount + deal_currency_code (display)</t>
  </si>
  <si>
    <t xml:space="preserve">SUM(amount) mixes EUR and USD</t>
  </si>
  <si>
    <t xml:space="preserve">SELECT SUM(amount_in_home_currency) FROM DEAL WHERE hs_is_closed = false</t>
  </si>
  <si>
    <t xml:space="preserve">Total open pipeline as SUM(amount_in_home_currency) where hs_is_closed = false.</t>
  </si>
  <si>
    <t xml:space="preserve">P12</t>
  </si>
  <si>
    <t xml:space="preserve">Weighted / probability-adjusted pipeline</t>
  </si>
  <si>
    <t xml:space="preserve">weighted, expected, probability adjusted, projected</t>
  </si>
  <si>
    <t xml:space="preserve">hs_projected_amount_in_home_currency</t>
  </si>
  <si>
    <t xml:space="preserve">hs_forecast_amount, weighted_amount__k__, weighted_amount_corrected, Weighted YYYY (k$) via Year Resolver</t>
  </si>
  <si>
    <t xml:space="preserve">hs_projected_amount (raw currency)</t>
  </si>
  <si>
    <t xml:space="preserve">SELECT SUM(hs_projected_amount_in_home_currency) FROM DEAL WHERE hs_is_closed = false</t>
  </si>
  <si>
    <t xml:space="preserve">Weighted open pipeline = SUM(hs_projected_amount_in_home_currency) where hs_is_closed = false.</t>
  </si>
  <si>
    <t xml:space="preserve">P13</t>
  </si>
  <si>
    <t xml:space="preserve">Year-indexed metric: Pipeline / Cumulative pipeline / Weighted / Volume / Weighted volume / Services value / ASP for a year</t>
  </si>
  <si>
    <t xml:space="preserve">pipeline 2027, weighted 2028, volume 2026, asp 2029, services value 2027, cumulative pipeline</t>
  </si>
  <si>
    <t xml:space="preserve">→ Year Resolver sheet (label-driven)</t>
  </si>
  <si>
    <t xml:space="preserve">R4</t>
  </si>
  <si>
    <t xml:space="preserve">HIGH once resolved</t>
  </si>
  <si>
    <t xml:space="preserve">see Year Resolver</t>
  </si>
  <si>
    <t xml:space="preserve">Internal names with years in them (weighted_2021_calculation = Weighted 2027!)</t>
  </si>
  <si>
    <t xml:space="preserve">SELECT SUM(weighted_2021_calculation) FROM DEAL WHERE hs_is_closed = false   -- 'Weighted 2027 (k$)'</t>
  </si>
  <si>
    <t xml:space="preserve">Sum the property whose LABEL is exactly 'Weighted 2027 (k$)' (internal name weighted_2021_calculation) over open deals. Do not pick a property by its internal name year.</t>
  </si>
  <si>
    <t xml:space="preserve">P14</t>
  </si>
  <si>
    <t xml:space="preserve">Commit / forecast category</t>
  </si>
  <si>
    <t xml:space="preserve">commit, committed, forecast category, omitted</t>
  </si>
  <si>
    <t xml:space="preserve">hs_manual_forecast_category</t>
  </si>
  <si>
    <t xml:space="preserve">revenue_state (Pipeline/Forecast/BIBA), forecast_source</t>
  </si>
  <si>
    <t xml:space="preserve">SELECT hs_manual_forecast_category, SUM(amount_in_home_currency) FROM DEAL WHERE hs_is_closed = false GROUP BY hs_manual_forecast_category</t>
  </si>
  <si>
    <t xml:space="preserve">Open pipeline by hs_manual_forecast_category (OMIT = Not forecasted, COMMIT, CLOSED).</t>
  </si>
  <si>
    <t xml:space="preserve">P15</t>
  </si>
  <si>
    <t xml:space="preserve">Revenue state: BIBA vs Forecast vs Pipeline</t>
  </si>
  <si>
    <t xml:space="preserve">biba, forecast state, revenue state</t>
  </si>
  <si>
    <t xml:space="preserve">revenue_state</t>
  </si>
  <si>
    <t xml:space="preserve">SELECT revenue_state, SUM(amount_in_home_currency) FROM DEAL GROUP BY revenue_state</t>
  </si>
  <si>
    <t xml:space="preserve">Total amount_in_home_currency by revenue_state.</t>
  </si>
  <si>
    <t xml:space="preserve">P16</t>
  </si>
  <si>
    <t xml:space="preserve">Deals by owner / rep / salesperson; 'my deals'</t>
  </si>
  <si>
    <t xml:space="preserve">owner, rep, salesperson, who owns, my, mine</t>
  </si>
  <si>
    <t xml:space="preserve">hubspot_owner_id</t>
  </si>
  <si>
    <t xml:space="preserve">R9</t>
  </si>
  <si>
    <t xml:space="preserve">hs_all_collaborator_owner_ids, hubspot_team_id</t>
  </si>
  <si>
    <t xml:space="preserve">team (free text)</t>
  </si>
  <si>
    <t xml:space="preserve">SELECT hubspot_owner_id, COUNT(*), SUM(amount_in_home_currency) FROM DEAL WHERE hs_is_closed = false GROUP BY hubspot_owner_id</t>
  </si>
  <si>
    <t xml:space="preserve">Open deals per hubspot_owner_id with SUM(amount_in_home_currency); resolve owner IDs to names.</t>
  </si>
  <si>
    <t xml:space="preserve">P17</t>
  </si>
  <si>
    <t xml:space="preserve">Deals by sales team</t>
  </si>
  <si>
    <t xml:space="preserve">team, sales emea, sales noram, sales apac, sales taiwan, sq sales</t>
  </si>
  <si>
    <t xml:space="preserve">hubspot_team_id</t>
  </si>
  <si>
    <t xml:space="preserve">sales_region</t>
  </si>
  <si>
    <t xml:space="preserve">team (free-text custom)</t>
  </si>
  <si>
    <t xml:space="preserve">SELECT hubspot_team_id, SUM(amount_in_home_currency) FROM DEAL WHERE hs_is_closed = false GROUP BY hubspot_team_id</t>
  </si>
  <si>
    <t xml:space="preserve">Open pipeline by hubspot_team_id.</t>
  </si>
  <si>
    <t xml:space="preserve">P18</t>
  </si>
  <si>
    <t xml:space="preserve">Deals by region</t>
  </si>
  <si>
    <t xml:space="preserve">region, emea, apac, noram, taiwan, americas, europe, asia</t>
  </si>
  <si>
    <t xml:space="preserve">hubspot_team_id, COMPANY.country</t>
  </si>
  <si>
    <t xml:space="preserve">SELECT sales_region, COUNT(*), SUM(amount_in_home_currency) FROM DEAL WHERE hs_is_closed = false GROUP BY sales_region</t>
  </si>
  <si>
    <t xml:space="preserve">Open deals by sales_region.</t>
  </si>
  <si>
    <t xml:space="preserve">P19</t>
  </si>
  <si>
    <t xml:space="preserve">Channel: distributor vs direct vs rep vs web</t>
  </si>
  <si>
    <t xml:space="preserve">channel, distributor, disti, direct, rep, web, var</t>
  </si>
  <si>
    <t xml:space="preserve">opp_cust___channel_var__new_</t>
  </si>
  <si>
    <t xml:space="preserve">R1 + R3</t>
  </si>
  <si>
    <t xml:space="preserve">channel_name__dist_rep_ (which distributor)</t>
  </si>
  <si>
    <t xml:space="preserve">channel_var (old free text)</t>
  </si>
  <si>
    <t xml:space="preserve">SELECT opp_cust___channel_var__new_, COUNT(*) FROM DEAL GROUP BY opp_cust___channel_var__new_</t>
  </si>
  <si>
    <t xml:space="preserve">Deals by opp_cust___channel_var__new_.</t>
  </si>
  <si>
    <t xml:space="preserve">P20</t>
  </si>
  <si>
    <t xml:space="preserve">Final customer / end customer / sold-to</t>
  </si>
  <si>
    <t xml:space="preserve">final customer, end customer, oem, sold-to, who buys</t>
  </si>
  <si>
    <t xml:space="preserve">final_customer (end) / sold_to (buyer)</t>
  </si>
  <si>
    <t xml:space="preserve">MEDIUM (free text → LIKE)</t>
  </si>
  <si>
    <t xml:space="preserve">COMPANY.name (associated company)</t>
  </si>
  <si>
    <t xml:space="preserve">SELECT dealname, sold_to, final_customer, COMPANY.name FROM DEAL WHERE final_customer LIKE '%Bosch%'</t>
  </si>
  <si>
    <t xml:space="preserve">Deals where final_customer contains 'Bosch', showing sold_to and the associated COMPANY.name.</t>
  </si>
  <si>
    <t xml:space="preserve">P21</t>
  </si>
  <si>
    <t xml:space="preserve">New vs existing customer</t>
  </si>
  <si>
    <t xml:space="preserve">new business, new customer, existing, recurrent, upsell</t>
  </si>
  <si>
    <t xml:space="preserve">dealtype</t>
  </si>
  <si>
    <t xml:space="preserve">new_lead__</t>
  </si>
  <si>
    <t xml:space="preserve">SELECT dealtype, COUNT(*) FROM DEAL GROUP BY dealtype</t>
  </si>
  <si>
    <t xml:space="preserve">Deals by dealtype (newbusiness / existingbusiness / existingbusinessre).</t>
  </si>
  <si>
    <t xml:space="preserve">P22</t>
  </si>
  <si>
    <t xml:space="preserve">Entity split: IC'Alps vs SEALSQ; Wisekey vs Seal</t>
  </si>
  <si>
    <t xml:space="preserve">icalps, ic'alps, sealsq, wisekey, seal, entity, attribution</t>
  </si>
  <si>
    <t xml:space="preserve">icalps__sealsq / wisekey___seal</t>
  </si>
  <si>
    <t xml:space="preserve">wk_vs_seal (free text)</t>
  </si>
  <si>
    <t xml:space="preserve">SELECT icalps__sealsq, SUM(amount_in_home_currency) FROM DEAL GROUP BY icalps__sealsq</t>
  </si>
  <si>
    <t xml:space="preserve">Total amount_in_home_currency by icalps__sealsq.</t>
  </si>
  <si>
    <t xml:space="preserve">P23</t>
  </si>
  <si>
    <t xml:space="preserve">Requirement flags: PQC / FIPS / military / VaultiTrust provisioning / competitor TPM</t>
  </si>
  <si>
    <t xml:space="preserve">pqc, post-quantum, fips, military, defense, provisioning, vaultitrust, competitor tpm</t>
  </si>
  <si>
    <t xml:space="preserve">pqc_required / fips_required / military_application / vaultitrust_ / using_tpm_from_competition</t>
  </si>
  <si>
    <t xml:space="preserve">R2 (label match; enum values differ: YES/NO vs Yes/No vs true/false)</t>
  </si>
  <si>
    <t xml:space="preserve">Case matters: pqc_required uses 'YES', fips_required uses 'Yes', vaultitrust_ uses 'true'</t>
  </si>
  <si>
    <t xml:space="preserve">SELECT COUNT(*) FROM DEAL WHERE pqc_required = 'YES'</t>
  </si>
  <si>
    <t xml:space="preserve">Count deals where pqc_required = 'YES'; separately fips_required = 'Yes'; military_application = 'Yes'; vaultitrust_ = 'true'.</t>
  </si>
  <si>
    <t xml:space="preserve">P24</t>
  </si>
  <si>
    <t xml:space="preserve">Milestone dates: identified / qualified / design-in / design-win / closed won / mass production</t>
  </si>
  <si>
    <t xml:space="preserve">when identified, design win date, design in date, mass production, production date, decision date</t>
  </si>
  <si>
    <t xml:space="preserve">identified_date, qualified_date, design_in_date, design_win_date, closed_won_date, closed_lost_date, closed_dead_date, mass_production_date, expected_production_date, expected_decision_date</t>
  </si>
  <si>
    <t xml:space="preserve">R2 (labels 'DATE - n. …')</t>
  </si>
  <si>
    <t xml:space="preserve">hs_v2_date_entered_&lt;stageId&gt; (system), deal_date_* (duplicates)</t>
  </si>
  <si>
    <t xml:space="preserve">negotiate_date is actually 'DATE - 3.a Design In (Services Only)'</t>
  </si>
  <si>
    <t xml:space="preserve">SELECT dealname, design_win_date FROM DEAL WHERE design_win_date BETWEEN '2026-01-01' AND '2026-12-31'</t>
  </si>
  <si>
    <t xml:space="preserve">Deals with design_win_date in 2026 (hardware design wins).</t>
  </si>
  <si>
    <t xml:space="preserve">P25</t>
  </si>
  <si>
    <t xml:space="preserve">Closing when / close date / expected close</t>
  </si>
  <si>
    <t xml:space="preserve">close date, closing, expected close, this quarter</t>
  </si>
  <si>
    <t xml:space="preserve">closedate</t>
  </si>
  <si>
    <t xml:space="preserve">R2 + R10</t>
  </si>
  <si>
    <t xml:space="preserve">icalps_targetclose (legacy), expected_decision_date</t>
  </si>
  <si>
    <t xml:space="preserve">SELECT dealname, amount_in_home_currency FROM DEAL WHERE hs_is_closed = false AND closedate BETWEEN '2026-10-01' AND '2026-12-31'</t>
  </si>
  <si>
    <t xml:space="preserve">Open deals with closedate in Q4 2026.</t>
  </si>
  <si>
    <t xml:space="preserve">P26</t>
  </si>
  <si>
    <t xml:space="preserve">Deal creation trend</t>
  </si>
  <si>
    <t xml:space="preserve">created, new deals per month, creation</t>
  </si>
  <si>
    <t xml:space="preserve">createdate</t>
  </si>
  <si>
    <t xml:space="preserve">identified_date</t>
  </si>
  <si>
    <t xml:space="preserve">SELECT DATE_TRUNC(createdate, 'MONTH'), COUNT(*) FROM DEAL WHERE createdate BETWEEN '2026-01-01' AND '2026-12-31' GROUP BY DATE_TRUNC(createdate, 'MONTH')</t>
  </si>
  <si>
    <t xml:space="preserve">Deals created per month in 2026.</t>
  </si>
  <si>
    <t xml:space="preserve">P27</t>
  </si>
  <si>
    <t xml:space="preserve">Inactive / dormant / no recent activity</t>
  </si>
  <si>
    <t xml:space="preserve">inactive, dormant, no activity, untouched, stale</t>
  </si>
  <si>
    <t xml:space="preserve">notes_last_updated</t>
  </si>
  <si>
    <t xml:space="preserve">notes_last_contacted, hs_is_stalled, num_contacted_notes</t>
  </si>
  <si>
    <t xml:space="preserve">SELECT dealname, hubspot_owner_id, notes_last_updated FROM DEAL WHERE hs_is_closed = false AND notes_last_updated &lt; '2026-06-16'</t>
  </si>
  <si>
    <t xml:space="preserve">Open deals with notes_last_updated older than 90 days.</t>
  </si>
  <si>
    <t xml:space="preserve">P28</t>
  </si>
  <si>
    <t xml:space="preserve">Stalled / aging in stage</t>
  </si>
  <si>
    <t xml:space="preserve">stalled, stuck, aging, too long in stage</t>
  </si>
  <si>
    <t xml:space="preserve">hs_is_stalled / hs_v2_date_entered_current_stage</t>
  </si>
  <si>
    <t xml:space="preserve">hs_v2_time_in_current_stage, hs_v2_latest_time_in_&lt;stageId&gt;</t>
  </si>
  <si>
    <t xml:space="preserve">SELECT dealname, dealstage, hs_v2_date_entered_current_stage FROM DEAL WHERE hs_is_stalled = true</t>
  </si>
  <si>
    <t xml:space="preserve">Open deals where hs_is_stalled = true, with date entered current stage.</t>
  </si>
  <si>
    <t xml:space="preserve">P29</t>
  </si>
  <si>
    <t xml:space="preserve">Next steps / next activity</t>
  </si>
  <si>
    <t xml:space="preserve">next step, next activity, follow-up</t>
  </si>
  <si>
    <t xml:space="preserve">hs_next_step / notes_next_activity_date</t>
  </si>
  <si>
    <t xml:space="preserve">hs_next_meeting_start_time</t>
  </si>
  <si>
    <t xml:space="preserve">SELECT dealname, hs_next_step, notes_next_activity_date FROM DEAL WHERE hs_is_closed = false</t>
  </si>
  <si>
    <t xml:space="preserve">Open deals with hs_next_step and notes_next_activity_date.</t>
  </si>
  <si>
    <t xml:space="preserve">P30</t>
  </si>
  <si>
    <t xml:space="preserve">Priority deals</t>
  </si>
  <si>
    <t xml:space="preserve">priority, high priority, urgent</t>
  </si>
  <si>
    <t xml:space="preserve">hs_priority</t>
  </si>
  <si>
    <t xml:space="preserve">SELECT dealname, amount_in_home_currency FROM DEAL WHERE hs_priority = 'high' AND hs_is_closed = false</t>
  </si>
  <si>
    <t xml:space="preserve">Open deals with hs_priority = 'high'.</t>
  </si>
  <si>
    <t xml:space="preserve">P31</t>
  </si>
  <si>
    <t xml:space="preserve">Quote status</t>
  </si>
  <si>
    <t xml:space="preserve">quote, quotation, quoted</t>
  </si>
  <si>
    <t xml:space="preserve">quote_status</t>
  </si>
  <si>
    <t xml:space="preserve">SELECT quote_status, COUNT(*) FROM DEAL GROUP BY quote_status</t>
  </si>
  <si>
    <t xml:space="preserve">Deals by quote_status.</t>
  </si>
  <si>
    <t xml:space="preserve">P32</t>
  </si>
  <si>
    <t xml:space="preserve">Sales cycle / days to close / velocity</t>
  </si>
  <si>
    <t xml:space="preserve">sales cycle, days to close, velocity, how long</t>
  </si>
  <si>
    <t xml:space="preserve">days_to_close</t>
  </si>
  <si>
    <t xml:space="preserve">hs_actual_duration, design_in_cycle_time, qualification_cycle_time</t>
  </si>
  <si>
    <t xml:space="preserve">SELECT pipeline, AVG(days_to_close), MEDIAN(days_to_close) FROM DEAL WHERE hs_is_closed_won = true GROUP BY pipeline</t>
  </si>
  <si>
    <t xml:space="preserve">Average and median days_to_close for won deals by pipeline.</t>
  </si>
  <si>
    <t xml:space="preserve">P33</t>
  </si>
  <si>
    <t xml:space="preserve">Deal with its company / account</t>
  </si>
  <si>
    <t xml:space="preserve">company, account, customer name, which company</t>
  </si>
  <si>
    <t xml:space="preserve">DEAL→COMPANY</t>
  </si>
  <si>
    <t xml:space="preserve">COMPANY.name (cross-object)</t>
  </si>
  <si>
    <t xml:space="preserve">R8</t>
  </si>
  <si>
    <t xml:space="preserve">sold_to, final_customer</t>
  </si>
  <si>
    <t xml:space="preserve">associations.COMPANY in SELECT (not allowed)</t>
  </si>
  <si>
    <t xml:space="preserve">SELECT dealname, COMPANY.name, amount_in_home_currency FROM DEAL WHERE hs_is_closed = false</t>
  </si>
  <si>
    <t xml:space="preserve">Open deals with their associated COMPANY.name.</t>
  </si>
  <si>
    <t xml:space="preserve">P34</t>
  </si>
  <si>
    <t xml:space="preserve">Deals for a given company</t>
  </si>
  <si>
    <t xml:space="preserve">deals at company X, account X pipeline</t>
  </si>
  <si>
    <t xml:space="preserve">COMPANY.name in WHERE</t>
  </si>
  <si>
    <t xml:space="preserve">COMPANY.domain</t>
  </si>
  <si>
    <t xml:space="preserve">SELECT dealname, dealstage, amount_in_home_currency FROM DEAL WHERE COMPANY.name LIKE '%Alcom%'</t>
  </si>
  <si>
    <t xml:space="preserve">Deals whose associated COMPANY.name contains 'Alcom'.</t>
  </si>
  <si>
    <t xml:space="preserve">P35</t>
  </si>
  <si>
    <t xml:space="preserve">Deals with no company / no contact</t>
  </si>
  <si>
    <t xml:space="preserve">orphan, no company, no contact</t>
  </si>
  <si>
    <t xml:space="preserve">associations.COMPANY IS NULL / num_associated_contacts = 0</t>
  </si>
  <si>
    <t xml:space="preserve">SELECT dealname FROM DEAL WHERE hs_is_closed = false AND associations.COMPANY IS NULL</t>
  </si>
  <si>
    <t xml:space="preserve">Open deals with no associated company.</t>
  </si>
  <si>
    <t xml:space="preserve">P36</t>
  </si>
  <si>
    <t xml:space="preserve">Deals with no product assigned (data quality)</t>
  </si>
  <si>
    <t xml:space="preserve">unassigned product, missing product, no product</t>
  </si>
  <si>
    <t xml:space="preserve">prod___product_name_new_ IS NULL</t>
  </si>
  <si>
    <t xml:space="preserve">R1 + data quality (822 deals today)</t>
  </si>
  <si>
    <t xml:space="preserve">SELECT hubspot_owner_id, COUNT(*) FROM DEAL WHERE prod___product_name_new_ IS NULL AND hs_is_closed = false GROUP BY hubspot_owner_id</t>
  </si>
  <si>
    <t xml:space="preserve">Open deals with prod___product_name_new_ IS NULL, grouped by owner.</t>
  </si>
  <si>
    <t xml:space="preserve">P37</t>
  </si>
  <si>
    <t xml:space="preserve">Company type / status / source</t>
  </si>
  <si>
    <t xml:space="preserve">prospect, customer, supplier, agent, active company, archived, lead source</t>
  </si>
  <si>
    <t xml:space="preserve">COMPANY</t>
  </si>
  <si>
    <t xml:space="preserve">icalps_companytype / icalps_companystatus / icalps_compsource</t>
  </si>
  <si>
    <t xml:space="preserve">lifecyclestage (contacts)</t>
  </si>
  <si>
    <t xml:space="preserve">SELECT icalps_companytype, icalps_companystatus, COUNT(*) FROM COMPANY GROUP BY icalps_companytype, icalps_companystatus</t>
  </si>
  <si>
    <t xml:space="preserve">Companies by icalps_companytype and icalps_companystatus.</t>
  </si>
  <si>
    <t xml:space="preserve">P38</t>
  </si>
  <si>
    <t xml:space="preserve">Company industry / segment</t>
  </si>
  <si>
    <t xml:space="preserve">industry, sector, segment, vertical, iot, medical, automotive</t>
  </si>
  <si>
    <t xml:space="preserve">industry (HubSpot) / icalps_industry_drill_down (ICALPS) / comp_sector / market_segment</t>
  </si>
  <si>
    <t xml:space="preserve">R1 / R2</t>
  </si>
  <si>
    <t xml:space="preserve">MEDIUM (4 candidates)</t>
  </si>
  <si>
    <t xml:space="preserve">icalps_company_sector does not exist</t>
  </si>
  <si>
    <t xml:space="preserve">SELECT icalps_industry_drill_down, COUNT(*) FROM COMPANY GROUP BY icalps_industry_drill_down</t>
  </si>
  <si>
    <t xml:space="preserve">Companies by icalps_industry_drill_down; also by industry.</t>
  </si>
  <si>
    <t xml:space="preserve">P39</t>
  </si>
  <si>
    <t xml:space="preserve">Company size / country</t>
  </si>
  <si>
    <t xml:space="preserve">employees, headcount, size, country</t>
  </si>
  <si>
    <t xml:space="preserve">icalps_comp_numemployees / country</t>
  </si>
  <si>
    <t xml:space="preserve">numberofemployees (HubSpot std), icalps_address_country</t>
  </si>
  <si>
    <t xml:space="preserve">SELECT country, COUNT(*) FROM COMPANY WHERE icalps_companytype = 'Customer' GROUP BY country</t>
  </si>
  <si>
    <t xml:space="preserve">Customer companies by country.</t>
  </si>
  <si>
    <t xml:space="preserve">P40</t>
  </si>
  <si>
    <t xml:space="preserve">Contact status / lifecycle / marketing</t>
  </si>
  <si>
    <t xml:space="preserve">active contact, lead, mql, sql, marketing contact, subscribed</t>
  </si>
  <si>
    <t xml:space="preserve">CONTACT</t>
  </si>
  <si>
    <t xml:space="preserve">icalps_contactstatus / lifecyclestage / hs_marketable_status / hs_lead_status</t>
  </si>
  <si>
    <t xml:space="preserve">icalps_contactstatus has 4 mixed values (true/false/active/inactive)</t>
  </si>
  <si>
    <t xml:space="preserve">SELECT lifecyclestage, COUNT(*) FROM CONTACT GROUP BY lifecyclestage</t>
  </si>
  <si>
    <t xml:space="preserve">Contacts by lifecyclestage.</t>
  </si>
  <si>
    <t xml:space="preserve">P41</t>
  </si>
  <si>
    <t xml:space="preserve">Contact job title / language / email validity</t>
  </si>
  <si>
    <t xml:space="preserve">job title, cto, ceo, language, french, invalid email</t>
  </si>
  <si>
    <t xml:space="preserve">jobtitle / hs_language / email_valid</t>
  </si>
  <si>
    <t xml:space="preserve">icalps_language (text)</t>
  </si>
  <si>
    <t xml:space="preserve">SELECT firstname, lastname, email FROM CONTACT WHERE jobtitle LIKE '%CTO%' AND email_valid = 'true'</t>
  </si>
  <si>
    <t xml:space="preserve">Contacts with jobtitle containing 'CTO' and email_valid = 'true'.</t>
  </si>
  <si>
    <t xml:space="preserve">P42</t>
  </si>
  <si>
    <t xml:space="preserve">Ticket status / priority / category</t>
  </si>
  <si>
    <t xml:space="preserve">open tickets, urgent, waiting on us, product issue, support</t>
  </si>
  <si>
    <t xml:space="preserve">TICKET</t>
  </si>
  <si>
    <t xml:space="preserve">hs_pipeline_stage / hs_ticket_priority / hs_ticket_category</t>
  </si>
  <si>
    <t xml:space="preserve">hs_pipeline (Support vs External)</t>
  </si>
  <si>
    <t xml:space="preserve">icalps_case_* names do not exist; live: icalps_ticketstage</t>
  </si>
  <si>
    <t xml:space="preserve">SELECT hs_pipeline_stage, hs_ticket_priority, COUNT(*) FROM TICKET GROUP BY hs_pipeline_stage, hs_ticket_priority</t>
  </si>
  <si>
    <t xml:space="preserve">Tickets by hs_pipeline_stage and hs_ticket_priority.</t>
  </si>
  <si>
    <t xml:space="preserve">P43</t>
  </si>
  <si>
    <t xml:space="preserve">Activities: calls / meetings / tasks / notes volume and outcomes</t>
  </si>
  <si>
    <t xml:space="preserve">calls, meetings, tasks, notes, logged, outcome, overdue</t>
  </si>
  <si>
    <t xml:space="preserve">CALL / MEETING / TASK / NOTE</t>
  </si>
  <si>
    <t xml:space="preserve">hs_call_disposition / hs_meeting_outcome / hs_task_status + hs_task_missed_due_date / hs_note_body</t>
  </si>
  <si>
    <t xml:space="preserve">R2 (ontology mapping)</t>
  </si>
  <si>
    <t xml:space="preserve">MEDIUM (not re-verified)</t>
  </si>
  <si>
    <t xml:space="preserve">hs_timestamp for dates</t>
  </si>
  <si>
    <t xml:space="preserve">SELECT hs_call_disposition, COUNT(*) FROM CALL WHERE hs_timestamp BETWEEN '2026-09-01' AND '2026-09-30' GROUP BY hs_call_disposition</t>
  </si>
  <si>
    <t xml:space="preserve">Calls this month by hs_call_disposition.</t>
  </si>
  <si>
    <t xml:space="preserve">name</t>
  </si>
  <si>
    <t xml:space="preserve">rule</t>
  </si>
  <si>
    <t xml:space="preserve">example</t>
  </si>
  <si>
    <t xml:space="preserve">ENUM-VALUE MATCH</t>
  </si>
  <si>
    <t xml:space="preserve">If the user's phrase equals or contains an enumeration option VALUE or LABEL of a property, that property wins. 'QVault TPM IoT' is an option of prod___product_name_new_ → filter that property with the exact value. Highest confidence.</t>
  </si>
  <si>
    <t xml:space="preserve">prod___product_name_new_ = 'QVault TPM IOT'</t>
  </si>
  <si>
    <t xml:space="preserve">LABEL MATCH</t>
  </si>
  <si>
    <t xml:space="preserve">Match the phrase to the business LABEL (incl. prefixes 'PROD -', 'OPP CUST -', 'INFO -', 'DATE -'), not the internal name. 'Sales region' → INFO - Sales Region → sales_region.</t>
  </si>
  <si>
    <t xml:space="preserve">R3</t>
  </si>
  <si>
    <t xml:space="preserve">GOVERNANCE PRECEDENCE</t>
  </si>
  <si>
    <t xml:space="preserve">Prefer the governed property: label/description says '(new)' or 'only use this from now on'. Demote '(USE ONLY IF EXCEPTION)', '(DO NOT USE)', '(IGNORE)', 'TEST', 'to_delete', 'Test Property'. product_name and solution_family__new_ are never the default answer.</t>
  </si>
  <si>
    <t xml:space="preserve">prod___product_name_new_ &gt; product_name &gt; solution_family__new_</t>
  </si>
  <si>
    <t xml:space="preserve">YEAR-BY-LABEL</t>
  </si>
  <si>
    <t xml:space="preserve">For any (metric, year) phrase — pipeline / cumulative pipeline / weighted / volume / weighted volume / services value / ASP — resolve through the LABEL. Several internal names were recycled (weighted_2021_calculation is 'Weighted 2027 (k$)'; asp_in_usd_q2_2022_calculation is 'ARR ($K/Y)'). Use the Year Resolver sheet.</t>
  </si>
  <si>
    <t xml:space="preserve">Weighted 2027 (k$) → weighted_2021_calculation</t>
  </si>
  <si>
    <t xml:space="preserve">TYPE PREFERENCE</t>
  </si>
  <si>
    <t xml:space="preserve">enumeration &gt; bool &gt; number &gt; free-text string. For money aggregation always use amount_in_home_currency / hs_projected_amount_in_home_currency; never SUM(amount) across currencies. Display amount together with deal_currency_code.</t>
  </si>
  <si>
    <t xml:space="preserve">SUM(amount_in_home_currency)</t>
  </si>
  <si>
    <t xml:space="preserve">STATE SHORTCUTS</t>
  </si>
  <si>
    <t xml:space="preserve">won / lost / open / closed → hs_is_closed_won / hs_is_closed_lost / hs_is_closed (booleans, pipeline-independent). Only use dealstage IDs when the user names a specific stage AND pipeline (IDs are pipeline-specific; 'Design Win' has 6 different IDs).</t>
  </si>
  <si>
    <t xml:space="preserve">R7</t>
  </si>
  <si>
    <t xml:space="preserve">NAME-LIKE FALLBACK</t>
  </si>
  <si>
    <t xml:space="preserve">dealname LIKE '%x%' is a LAST RESORT, only when no enum option matches, and the answer must be flagged approximate. Never use it for product/category questions — it under-counts (2 vs 32 for QVault TPM IoT).</t>
  </si>
  <si>
    <t xml:space="preserve">dealname LIKE '%Qvault%'  ← wrong for product counts</t>
  </si>
  <si>
    <t xml:space="preserve">ASSOCIATION</t>
  </si>
  <si>
    <t xml:space="preserve">'company / account / contact of the deal' → cross-object OBJECT.property in SELECT/WHERE (COMPANY.name, CONTACT.email). Existence checks → associations.OBJECT IS NOT NULL (WHERE only). Max 2 associated objects per query.</t>
  </si>
  <si>
    <t xml:space="preserve">SELECT dealname, COMPANY.name FROM DEAL</t>
  </si>
  <si>
    <t xml:space="preserve">SELF-REFERENCE</t>
  </si>
  <si>
    <t xml:space="preserve">'my / I / me / mine' → hubspot_owner_id = &lt;resolved owner id&gt; (resolve via user-details). Without it the query returns the whole account.</t>
  </si>
  <si>
    <t xml:space="preserve">hubspot_owner_id = '29462792'</t>
  </si>
  <si>
    <t xml:space="preserve">R10</t>
  </si>
  <si>
    <t xml:space="preserve">TIME WINDOW DEFAULTS</t>
  </si>
  <si>
    <t xml:space="preserve">'this year' = 2026-01-01..2026-12-31; 'this quarter' = 2026-07-01..2026-09-30; 'last quarter' = 2026-04-01..2026-06-30; 'last 90 days' = since 2026-06-16. Dates use BETWEEN with 'YYYY-MM-DD' strings, never timestamps.</t>
  </si>
  <si>
    <t xml:space="preserve">closedate BETWEEN '2026-01-01' AND '2026-12-31'</t>
  </si>
  <si>
    <t xml:space="preserve">R11</t>
  </si>
  <si>
    <t xml:space="preserve">AMBIGUITY</t>
  </si>
  <si>
    <t xml:space="preserve">If two governed properties both match (e.g. 'TPM' hits product_hierarchy=TPM, product_line=TPM and prod___product_name_new_ in {QVault TPM, QVault TPM IOT}), pick the most specific level the user named (SKU &gt; line &gt; family) and state the alternates.</t>
  </si>
  <si>
    <t xml:space="preserve">TPM → product_line unless a SKU was named</t>
  </si>
  <si>
    <t xml:space="preserve">label</t>
  </si>
  <si>
    <t xml:space="preserve">type</t>
  </si>
  <si>
    <t xml:space="preserve">type_source</t>
  </si>
  <si>
    <t xml:space="preserve">group</t>
  </si>
  <si>
    <t xml:space="preserve">governance</t>
  </si>
  <si>
    <t xml:space="preserve">year_metric</t>
  </si>
  <si>
    <t xml:space="preserve">year</t>
  </si>
  <si>
    <t xml:space="preserve">label_name_drift</t>
  </si>
  <si>
    <t xml:space="preserve">description</t>
  </si>
  <si>
    <t xml:space="preserve">enum_values (value=label)</t>
  </si>
  <si>
    <t xml:space="preserve">derivation_keywords</t>
  </si>
  <si>
    <t xml:space="preserve">example_prompt</t>
  </si>
  <si>
    <t xml:space="preserve">engagements_last_meeting_booked</t>
  </si>
  <si>
    <t xml:space="preserve">Date of last meeting booked in meetings tool</t>
  </si>
  <si>
    <t xml:space="preserve">datetime</t>
  </si>
  <si>
    <t xml:space="preserve">inferred from label</t>
  </si>
  <si>
    <t xml:space="preserve">Activity &amp; engagement</t>
  </si>
  <si>
    <t xml:space="preserve">USE</t>
  </si>
  <si>
    <t xml:space="preserve">date of last meeting booked in meetings tool</t>
  </si>
  <si>
    <t xml:space="preserve">Deals where Date of last meeting booked in meetings tool falls in 2026?</t>
  </si>
  <si>
    <t xml:space="preserve">SELECT dealname, engagements_last_meeting_booked FROM DEAL WHERE engagements_last_meeting_booked BETWEEN '2026-01-01' AND '2026-12-31'</t>
  </si>
  <si>
    <t xml:space="preserve">engagements_last_meeting_booked_campaign</t>
  </si>
  <si>
    <t xml:space="preserve">Campaign of last booking in meetings tool</t>
  </si>
  <si>
    <t xml:space="preserve">string</t>
  </si>
  <si>
    <t xml:space="preserve">campaign of last booking in meetings tool</t>
  </si>
  <si>
    <t xml:space="preserve">Deals where Campaign of last booking in meetings tool contains a keyword?</t>
  </si>
  <si>
    <t xml:space="preserve">SELECT dealname, engagements_last_meeting_booked_campaign FROM DEAL WHERE engagements_last_meeting_booked_campaign LIKE '%keyword%'</t>
  </si>
  <si>
    <t xml:space="preserve">engagements_last_meeting_booked_medium</t>
  </si>
  <si>
    <t xml:space="preserve">Medium of last booking in meetings tool</t>
  </si>
  <si>
    <t xml:space="preserve">medium of last booking in meetings tool</t>
  </si>
  <si>
    <t xml:space="preserve">Deals where Medium of last booking in meetings tool contains a keyword?</t>
  </si>
  <si>
    <t xml:space="preserve">SELECT dealname, engagements_last_meeting_booked_medium FROM DEAL WHERE engagements_last_meeting_booked_medium LIKE '%keyword%'</t>
  </si>
  <si>
    <t xml:space="preserve">engagements_last_meeting_booked_source</t>
  </si>
  <si>
    <t xml:space="preserve">Source of last booking in meetings tool</t>
  </si>
  <si>
    <t xml:space="preserve">source of last booking in meetings tool</t>
  </si>
  <si>
    <t xml:space="preserve">Deals where Source of last booking in meetings tool contains a keyword?</t>
  </si>
  <si>
    <t xml:space="preserve">SELECT dealname, engagements_last_meeting_booked_source FROM DEAL WHERE engagements_last_meeting_booked_source LIKE '%keyword%'</t>
  </si>
  <si>
    <t xml:space="preserve">hs_has_last_conversation_follow_ups</t>
  </si>
  <si>
    <t xml:space="preserve">Has Last Conversation Follow Ups</t>
  </si>
  <si>
    <t xml:space="preserve">bool/enum</t>
  </si>
  <si>
    <t xml:space="preserve">has last conversation follow ups</t>
  </si>
  <si>
    <t xml:space="preserve">Inspect Has Last Conversation Follow Ups (type not fetched — verify with get_properties before filtering).</t>
  </si>
  <si>
    <t xml:space="preserve">SELECT hs_has_last_conversation_follow_ups, COUNT(*) FROM DEAL WHERE hs_has_last_conversation_follow_ups IS NOT NULL GROUP BY hs_has_last_conversation_follow_ups</t>
  </si>
  <si>
    <t xml:space="preserve">hs_has_last_meeting_followups</t>
  </si>
  <si>
    <t xml:space="preserve">Has Last Meeting Follow Ups</t>
  </si>
  <si>
    <t xml:space="preserve">has last meeting follow ups</t>
  </si>
  <si>
    <t xml:space="preserve">Inspect Has Last Meeting Follow Ups (type not fetched — verify with get_properties before filtering).</t>
  </si>
  <si>
    <t xml:space="preserve">SELECT hs_has_last_meeting_followups, COUNT(*) FROM DEAL WHERE hs_has_last_meeting_followups IS NOT NULL GROUP BY hs_has_last_meeting_followups</t>
  </si>
  <si>
    <t xml:space="preserve">hs_last_conversation_with_followups_object_coordinates</t>
  </si>
  <si>
    <t xml:space="preserve">Last conversation with follow-ups</t>
  </si>
  <si>
    <t xml:space="preserve">last conversation with follow-ups</t>
  </si>
  <si>
    <t xml:space="preserve">Deals where Last conversation with follow-ups contains a keyword?</t>
  </si>
  <si>
    <t xml:space="preserve">SELECT dealname, hs_last_conversation_with_followups_object_coordinates FROM DEAL WHERE hs_last_conversation_with_followups_object_coordinates LIKE '%keyword%'</t>
  </si>
  <si>
    <t xml:space="preserve">hs_last_email_with_followups_object_coordinates</t>
  </si>
  <si>
    <t xml:space="preserve">Last email with follow-ups</t>
  </si>
  <si>
    <t xml:space="preserve">last email with follow-ups</t>
  </si>
  <si>
    <t xml:space="preserve">Deals where Last email with follow-ups contains a keyword?</t>
  </si>
  <si>
    <t xml:space="preserve">SELECT dealname, hs_last_email_with_followups_object_coordinates FROM DEAL WHERE hs_last_email_with_followups_object_coordinates LIKE '%keyword%'</t>
  </si>
  <si>
    <t xml:space="preserve">hs_last_gs_shared_message</t>
  </si>
  <si>
    <t xml:space="preserve">Last GS Shared Message</t>
  </si>
  <si>
    <t xml:space="preserve">last gs shared message</t>
  </si>
  <si>
    <t xml:space="preserve">Deals where Last GS Shared Message contains a keyword?</t>
  </si>
  <si>
    <t xml:space="preserve">SELECT dealname, hs_last_gs_shared_message FROM DEAL WHERE hs_last_gs_shared_message LIKE '%keyword%'</t>
  </si>
  <si>
    <t xml:space="preserve">hs_last_partner_shared_message_date</t>
  </si>
  <si>
    <t xml:space="preserve">Last Partner Shared Message Date</t>
  </si>
  <si>
    <t xml:space="preserve">last partner shared message date</t>
  </si>
  <si>
    <t xml:space="preserve">Deals where Last Partner Shared Message Date falls in 2026?</t>
  </si>
  <si>
    <t xml:space="preserve">SELECT dealname, hs_last_partner_shared_message_date FROM DEAL WHERE hs_last_partner_shared_message_date BETWEEN '2026-01-01' AND '2026-12-31'</t>
  </si>
  <si>
    <t xml:space="preserve">hs_next_meeting_id</t>
  </si>
  <si>
    <t xml:space="preserve">Next Meeting</t>
  </si>
  <si>
    <t xml:space="preserve">next meeting</t>
  </si>
  <si>
    <t xml:space="preserve">Deals where Next Meeting contains a keyword?</t>
  </si>
  <si>
    <t xml:space="preserve">SELECT dealname, hs_next_meeting_id FROM DEAL WHERE hs_next_meeting_id LIKE '%keyword%'</t>
  </si>
  <si>
    <t xml:space="preserve">hs_next_meeting_name</t>
  </si>
  <si>
    <t xml:space="preserve">Next Meeting Name</t>
  </si>
  <si>
    <t xml:space="preserve">next meeting name</t>
  </si>
  <si>
    <t xml:space="preserve">Deals where Next Meeting Name contains a keyword?</t>
  </si>
  <si>
    <t xml:space="preserve">SELECT dealname, hs_next_meeting_name FROM DEAL WHERE hs_next_meeting_name LIKE '%keyword%'</t>
  </si>
  <si>
    <t xml:space="preserve">Next Meeting Start Time</t>
  </si>
  <si>
    <t xml:space="preserve">next meeting start time</t>
  </si>
  <si>
    <t xml:space="preserve">Deals where Next Meeting Start Time falls in 2026?</t>
  </si>
  <si>
    <t xml:space="preserve">SELECT dealname, hs_next_meeting_start_time FROM DEAL WHERE hs_next_meeting_start_time BETWEEN '2026-01-01' AND '2026-12-31'</t>
  </si>
  <si>
    <t xml:space="preserve">hs_next_step</t>
  </si>
  <si>
    <t xml:space="preserve">Next step</t>
  </si>
  <si>
    <t xml:space="preserve">A short description of the next step for the deal</t>
  </si>
  <si>
    <t xml:space="preserve">next step</t>
  </si>
  <si>
    <t xml:space="preserve">What is the next step on each open deal?</t>
  </si>
  <si>
    <t xml:space="preserve">SELECT dealname, hs_next_step FROM DEAL WHERE hs_is_closed = false AND hs_next_step IS NOT NULL</t>
  </si>
  <si>
    <t xml:space="preserve">hs_notes_next_activity</t>
  </si>
  <si>
    <t xml:space="preserve">Next Activity</t>
  </si>
  <si>
    <t xml:space="preserve">next activity</t>
  </si>
  <si>
    <t xml:space="preserve">Deals where Next Activity contains a keyword?</t>
  </si>
  <si>
    <t xml:space="preserve">SELECT dealname, hs_notes_next_activity FROM DEAL WHERE hs_notes_next_activity LIKE '%keyword%'</t>
  </si>
  <si>
    <t xml:space="preserve">hs_num_of_associated_line_items</t>
  </si>
  <si>
    <t xml:space="preserve">Number of Associated Line Items</t>
  </si>
  <si>
    <t xml:space="preserve">number</t>
  </si>
  <si>
    <t xml:space="preserve">verified (get_properties)</t>
  </si>
  <si>
    <t xml:space="preserve">line items, products attached (HubSpot product library — NOT the PROD property)</t>
  </si>
  <si>
    <t xml:space="preserve">Deals that have line items attached?</t>
  </si>
  <si>
    <t xml:space="preserve">SELECT COUNT(*) FROM DEAL WHERE hs_num_of_associated_line_items &gt; 0</t>
  </si>
  <si>
    <t xml:space="preserve">notes_last_contacted</t>
  </si>
  <si>
    <t xml:space="preserve">Last Contacted</t>
  </si>
  <si>
    <t xml:space="preserve">Last call/email/meeting logged.</t>
  </si>
  <si>
    <t xml:space="preserve">last contacted, last touch</t>
  </si>
  <si>
    <t xml:space="preserve">When did we last contact the customer on each open deal?</t>
  </si>
  <si>
    <t xml:space="preserve">SELECT dealname, notes_last_contacted FROM DEAL WHERE hs_is_closed = false ORDER BY notes_last_contacted ASC</t>
  </si>
  <si>
    <t xml:space="preserve">Last Activity Date</t>
  </si>
  <si>
    <t xml:space="preserve">Last note/call/email/meeting/task logged.</t>
  </si>
  <si>
    <t xml:space="preserve">last activity, inactive, no touch, dormant</t>
  </si>
  <si>
    <t xml:space="preserve">Open deals with no activity for 90 days?</t>
  </si>
  <si>
    <t xml:space="preserve">SELECT dealname, notes_last_updated FROM DEAL WHERE hs_is_closed = false AND notes_last_updated &lt; '2026-06-16'</t>
  </si>
  <si>
    <t xml:space="preserve">notes_next_activity_date</t>
  </si>
  <si>
    <t xml:space="preserve">Next Activity Date</t>
  </si>
  <si>
    <t xml:space="preserve">next activity, next step date</t>
  </si>
  <si>
    <t xml:space="preserve">Deals with a next activity scheduled this week?</t>
  </si>
  <si>
    <t xml:space="preserve">SELECT dealname, notes_next_activity_date FROM DEAL WHERE notes_next_activity_date BETWEEN '2026-09-14' AND '2026-09-20'</t>
  </si>
  <si>
    <t xml:space="preserve">num_associated_contacts</t>
  </si>
  <si>
    <t xml:space="preserve">Number of Associated Contacts</t>
  </si>
  <si>
    <t xml:space="preserve">no contact, contacts on deal</t>
  </si>
  <si>
    <t xml:space="preserve">Open deals with no contact attached?</t>
  </si>
  <si>
    <t xml:space="preserve">SELECT dealname FROM DEAL WHERE hs_is_closed = false AND num_associated_contacts = 0</t>
  </si>
  <si>
    <t xml:space="preserve">num_contacted_notes</t>
  </si>
  <si>
    <t xml:space="preserve">Number of times contacted</t>
  </si>
  <si>
    <t xml:space="preserve">times contacted, touches</t>
  </si>
  <si>
    <t xml:space="preserve">Most-worked deals by number of contacts?</t>
  </si>
  <si>
    <t xml:space="preserve">SELECT dealname, num_contacted_notes FROM DEAL ORDER BY num_contacted_notes DESC LIMIT 20</t>
  </si>
  <si>
    <t xml:space="preserve">num_notes</t>
  </si>
  <si>
    <t xml:space="preserve">Number of Sales Activities</t>
  </si>
  <si>
    <t xml:space="preserve">number of sales activities</t>
  </si>
  <si>
    <t xml:space="preserve">What is the total / average Number of Sales Activities?</t>
  </si>
  <si>
    <t xml:space="preserve">SELECT SUM(num_notes), AVG(num_notes) FROM DEAL WHERE num_notes IS NOT NULL</t>
  </si>
  <si>
    <t xml:space="preserve">associated_company</t>
  </si>
  <si>
    <t xml:space="preserve">Other Associated company</t>
  </si>
  <si>
    <t xml:space="preserve">Customer, channel &amp; region</t>
  </si>
  <si>
    <t xml:space="preserve">other associated company</t>
  </si>
  <si>
    <t xml:space="preserve">Deals where Other Associated company contains a keyword?</t>
  </si>
  <si>
    <t xml:space="preserve">SELECT dealname, associated_company FROM DEAL WHERE associated_company LIKE '%keyword%'</t>
  </si>
  <si>
    <t xml:space="preserve">associated_contact</t>
  </si>
  <si>
    <t xml:space="preserve">Deals where associated_contact contains a keyword?</t>
  </si>
  <si>
    <t xml:space="preserve">SELECT dealname, associated_contact FROM DEAL WHERE associated_contact LIKE '%keyword%'</t>
  </si>
  <si>
    <t xml:space="preserve">channel_name__dist_rep_</t>
  </si>
  <si>
    <t xml:space="preserve">Channel name [Dist/Rep]</t>
  </si>
  <si>
    <t xml:space="preserve">distributor name, rep name, channel partner</t>
  </si>
  <si>
    <t xml:space="preserve">Which distributor brings the most deals?</t>
  </si>
  <si>
    <t xml:space="preserve">SELECT channel_name__dist_rep_, COUNT(*) FROM DEAL WHERE channel_name__dist_rep_ IS NOT NULL GROUP BY channel_name__dist_rep_ ORDER BY COUNT(*) DESC</t>
  </si>
  <si>
    <t xml:space="preserve">channel_var</t>
  </si>
  <si>
    <t xml:space="preserve">OPP CUST - Channel/VAR</t>
  </si>
  <si>
    <t xml:space="preserve">SECONDARY (old; use opp_cust___channel_var__new_)</t>
  </si>
  <si>
    <t xml:space="preserve">opp cust - channel/var</t>
  </si>
  <si>
    <t xml:space="preserve">Deals where OPP CUST - Channel/VAR contains a keyword?</t>
  </si>
  <si>
    <t xml:space="preserve">SELECT dealname, channel_var FROM DEAL WHERE channel_var LIKE '%keyword%'</t>
  </si>
  <si>
    <t xml:space="preserve">Deal Type</t>
  </si>
  <si>
    <t xml:space="preserve">enumeration</t>
  </si>
  <si>
    <t xml:space="preserve">The type of deal (New Business / Existing Business).</t>
  </si>
  <si>
    <t xml:space="preserve">newbusiness=Potential New Customer | existingbusiness=Existing Customer - New Business | existingbusinessre=Existing Customer - Recurrent</t>
  </si>
  <si>
    <t xml:space="preserve">new business, existing customer, recurrent, deal type</t>
  </si>
  <si>
    <t xml:space="preserve">Split by new vs existing customer.</t>
  </si>
  <si>
    <t xml:space="preserve">final_customer</t>
  </si>
  <si>
    <t xml:space="preserve">OPP CUST - Final Customer</t>
  </si>
  <si>
    <t xml:space="preserve">final customer, end customer, oem</t>
  </si>
  <si>
    <t xml:space="preserve">Deals where the final customer is Bosch?</t>
  </si>
  <si>
    <t xml:space="preserve">SELECT dealname, final_customer FROM DEAL WHERE final_customer LIKE '%Bosch%'</t>
  </si>
  <si>
    <t xml:space="preserve">hs_all_assigned_business_unit_ids</t>
  </si>
  <si>
    <t xml:space="preserve">Brands</t>
  </si>
  <si>
    <t xml:space="preserve">The brands this record is assigned to.</t>
  </si>
  <si>
    <t xml:space="preserve">brands</t>
  </si>
  <si>
    <t xml:space="preserve">Deals where Brands contains a keyword?</t>
  </si>
  <si>
    <t xml:space="preserve">SELECT dealname, hs_all_assigned_business_unit_ids FROM DEAL WHERE hs_all_assigned_business_unit_ids LIKE '%keyword%'</t>
  </si>
  <si>
    <t xml:space="preserve">icalps__sealsq</t>
  </si>
  <si>
    <t xml:space="preserve">IC'Alps | SEALSQ</t>
  </si>
  <si>
    <t xml:space="preserve">SEALSQ | IC'Alps</t>
  </si>
  <si>
    <t xml:space="preserve">ic'alps, icalps vs sealsq, entity</t>
  </si>
  <si>
    <t xml:space="preserve">How many IC'Alps deals vs SEALSQ deals?</t>
  </si>
  <si>
    <t xml:space="preserve">SELECT icalps__sealsq, COUNT(*) FROM DEAL GROUP BY icalps__sealsq</t>
  </si>
  <si>
    <t xml:space="preserve">Channel/Dist</t>
  </si>
  <si>
    <t xml:space="preserve">Distributor | Direct | Channel | Rep | Web</t>
  </si>
  <si>
    <t xml:space="preserve">channel, distributor, direct, rep, web, var</t>
  </si>
  <si>
    <t xml:space="preserve">How many deals come through distributors vs direct?</t>
  </si>
  <si>
    <t xml:space="preserve">INFO - Sales Region</t>
  </si>
  <si>
    <t xml:space="preserve">EMEA | APAC | NORAM | TAIWAN</t>
  </si>
  <si>
    <t xml:space="preserve">region, emea, apac, noram, taiwan</t>
  </si>
  <si>
    <t xml:space="preserve">Open pipeline by sales region?</t>
  </si>
  <si>
    <t xml:space="preserve">SELECT sales_region, SUM(amount_in_home_currency) FROM DEAL WHERE hs_is_closed = false GROUP BY sales_region</t>
  </si>
  <si>
    <t xml:space="preserve">sold_to</t>
  </si>
  <si>
    <t xml:space="preserve">OPP CUST - Sold-to</t>
  </si>
  <si>
    <t xml:space="preserve">sold-to, bill-to, invoiced party</t>
  </si>
  <si>
    <t xml:space="preserve">Who do we sell to on this deal (sold-to party)?</t>
  </si>
  <si>
    <t xml:space="preserve">SELECT dealname, sold_to FROM DEAL WHERE sold_to LIKE '%Arrow%'</t>
  </si>
  <si>
    <t xml:space="preserve">wisekey___seal</t>
  </si>
  <si>
    <t xml:space="preserve">Wisekey / Seal</t>
  </si>
  <si>
    <t xml:space="preserve">Seal | Wisekey</t>
  </si>
  <si>
    <t xml:space="preserve">wisekey, seal, attribution</t>
  </si>
  <si>
    <t xml:space="preserve">Revenue attributed to Wisekey vs Seal?</t>
  </si>
  <si>
    <t xml:space="preserve">SELECT wisekey___seal, SUM(amount_in_home_currency) FROM DEAL GROUP BY wisekey___seal</t>
  </si>
  <si>
    <t xml:space="preserve">wk_vs_seal</t>
  </si>
  <si>
    <t xml:space="preserve">Wk vs Seal</t>
  </si>
  <si>
    <t xml:space="preserve">Revenue attribution per company</t>
  </si>
  <si>
    <t xml:space="preserve">wk vs seal</t>
  </si>
  <si>
    <t xml:space="preserve">Deals where Wk vs Seal contains a keyword?</t>
  </si>
  <si>
    <t xml:space="preserve">SELECT dealname, wk_vs_seal FROM DEAL WHERE wk_vs_seal LIKE '%keyword%'</t>
  </si>
  <si>
    <t xml:space="preserve">agg_createdate</t>
  </si>
  <si>
    <t xml:space="preserve">Agg_CreateDate</t>
  </si>
  <si>
    <t xml:space="preserve">Dates &amp; milestones</t>
  </si>
  <si>
    <t xml:space="preserve">SECONDARY (duplicate of DATE - x.x)</t>
  </si>
  <si>
    <t xml:space="preserve">Deals where Agg_CreateDate falls in 2026?</t>
  </si>
  <si>
    <t xml:space="preserve">SELECT dealname, agg_createdate FROM DEAL WHERE agg_createdate BETWEEN '2026-01-01' AND '2026-12-31'</t>
  </si>
  <si>
    <t xml:space="preserve">closed_dead_date</t>
  </si>
  <si>
    <t xml:space="preserve">DATE - 6.b Closed Dead</t>
  </si>
  <si>
    <t xml:space="preserve">date</t>
  </si>
  <si>
    <t xml:space="preserve">date - 6.b closed dead</t>
  </si>
  <si>
    <t xml:space="preserve">Deals where DATE - 6.b Closed Dead falls in 2026?</t>
  </si>
  <si>
    <t xml:space="preserve">SELECT dealname, closed_dead_date FROM DEAL WHERE closed_dead_date BETWEEN '2026-01-01' AND '2026-12-31'</t>
  </si>
  <si>
    <t xml:space="preserve">closed_lost_date</t>
  </si>
  <si>
    <t xml:space="preserve">DATE - 6.a Closed Lost</t>
  </si>
  <si>
    <t xml:space="preserve">date - 6.a closed lost</t>
  </si>
  <si>
    <t xml:space="preserve">Deals where DATE - 6.a Closed Lost falls in 2026?</t>
  </si>
  <si>
    <t xml:space="preserve">SELECT dealname, closed_lost_date FROM DEAL WHERE closed_lost_date BETWEEN '2026-01-01' AND '2026-12-31'</t>
  </si>
  <si>
    <t xml:space="preserve">closed_won_date</t>
  </si>
  <si>
    <t xml:space="preserve">DATE - 5.a Closed Won</t>
  </si>
  <si>
    <t xml:space="preserve">date - 5.a closed won</t>
  </si>
  <si>
    <t xml:space="preserve">Deals where DATE - 5.a Closed Won falls in 2026?</t>
  </si>
  <si>
    <t xml:space="preserve">SELECT dealname, closed_won_date FROM DEAL WHERE closed_won_date BETWEEN '2026-01-01' AND '2026-12-31'</t>
  </si>
  <si>
    <t xml:space="preserve">Close Date</t>
  </si>
  <si>
    <t xml:space="preserve">Date the deal was closed. This property is set automatically by HubSpot.</t>
  </si>
  <si>
    <t xml:space="preserve">close date, closing, expected close</t>
  </si>
  <si>
    <t xml:space="preserve">Which deals are expected to close in Q4 2026?</t>
  </si>
  <si>
    <t xml:space="preserve">SELECT dealname, amount_in_home_currency FROM DEAL WHERE closedate BETWEEN '2026-10-01' AND '2026-12-31' AND hs_is_closed = false</t>
  </si>
  <si>
    <t xml:space="preserve">Create Date</t>
  </si>
  <si>
    <t xml:space="preserve">Date the deal was created. This property is set automatically by HubSpot.</t>
  </si>
  <si>
    <t xml:space="preserve">created, new deals, creation date</t>
  </si>
  <si>
    <t xml:space="preserve">How many deals were created per month this year?</t>
  </si>
  <si>
    <t xml:space="preserve">date___4__design_win__service_only_</t>
  </si>
  <si>
    <t xml:space="preserve">DATE - 4. Design Win (Service only)</t>
  </si>
  <si>
    <t xml:space="preserve">date - 4. design win (service only)</t>
  </si>
  <si>
    <t xml:space="preserve">Deals where DATE - 4. Design Win (Service only) falls in 2026?</t>
  </si>
  <si>
    <t xml:space="preserve">SELECT dealname, date___4__design_win__service_only_ FROM DEAL WHERE date___4__design_win__service_only_ BETWEEN '2026-01-01' AND '2026-12-31'</t>
  </si>
  <si>
    <t xml:space="preserve">date__design_win__services_only_</t>
  </si>
  <si>
    <t xml:space="preserve">Date. Design Win (Services Only)</t>
  </si>
  <si>
    <t xml:space="preserve">date design win</t>
  </si>
  <si>
    <t xml:space="preserve">date. design win (services only)</t>
  </si>
  <si>
    <t xml:space="preserve">Deals where Date. Design Win (Services Only) falls in 2026?</t>
  </si>
  <si>
    <t xml:space="preserve">SELECT dealname, date__design_win__services_only_ FROM DEAL WHERE date__design_win__services_only_ BETWEEN '2026-01-01' AND '2026-12-31'</t>
  </si>
  <si>
    <t xml:space="preserve">dead_date_qualified</t>
  </si>
  <si>
    <t xml:space="preserve">Dead Date Qualified</t>
  </si>
  <si>
    <t xml:space="preserve">dead date qualified</t>
  </si>
  <si>
    <t xml:space="preserve">Deals where Dead Date Qualified falls in 2026?</t>
  </si>
  <si>
    <t xml:space="preserve">SELECT dealname, dead_date_qualified FROM DEAL WHERE dead_date_qualified BETWEEN '2026-01-01' AND '2026-12-31'</t>
  </si>
  <si>
    <t xml:space="preserve">deal_date_close_lost</t>
  </si>
  <si>
    <t xml:space="preserve">Deal Date Close Lost</t>
  </si>
  <si>
    <t xml:space="preserve">deal date close lost</t>
  </si>
  <si>
    <t xml:space="preserve">Deals where Deal Date Close Lost falls in 2026?</t>
  </si>
  <si>
    <t xml:space="preserve">SELECT dealname, deal_date_close_lost FROM DEAL WHERE deal_date_close_lost BETWEEN '2026-01-01' AND '2026-12-31'</t>
  </si>
  <si>
    <t xml:space="preserve">deal_date_closed_won</t>
  </si>
  <si>
    <t xml:space="preserve">Deal Date Closed Won</t>
  </si>
  <si>
    <t xml:space="preserve">deal date closed won</t>
  </si>
  <si>
    <t xml:space="preserve">Deals where Deal Date Closed Won falls in 2026?</t>
  </si>
  <si>
    <t xml:space="preserve">SELECT dealname, deal_date_closed_won FROM DEAL WHERE deal_date_closed_won BETWEEN '2026-01-01' AND '2026-12-31'</t>
  </si>
  <si>
    <t xml:space="preserve">deal_date_desgin_win</t>
  </si>
  <si>
    <t xml:space="preserve">Deal Date Desgin Win</t>
  </si>
  <si>
    <t xml:space="preserve">deal date desgin win</t>
  </si>
  <si>
    <t xml:space="preserve">Deals where Deal Date Desgin Win falls in 2026?</t>
  </si>
  <si>
    <t xml:space="preserve">SELECT dealname, deal_date_desgin_win FROM DEAL WHERE deal_date_desgin_win BETWEEN '2026-01-01' AND '2026-12-31'</t>
  </si>
  <si>
    <t xml:space="preserve">deal_date_design_in</t>
  </si>
  <si>
    <t xml:space="preserve">Deal Date Design In</t>
  </si>
  <si>
    <t xml:space="preserve">deal date design in</t>
  </si>
  <si>
    <t xml:space="preserve">Deals where Deal Date Design In falls in 2026?</t>
  </si>
  <si>
    <t xml:space="preserve">SELECT dealname, deal_date_design_in FROM DEAL WHERE deal_date_design_in BETWEEN '2026-01-01' AND '2026-12-31'</t>
  </si>
  <si>
    <t xml:space="preserve">deal_date_identified</t>
  </si>
  <si>
    <t xml:space="preserve">Deal Date Identified</t>
  </si>
  <si>
    <t xml:space="preserve">deal date identified</t>
  </si>
  <si>
    <t xml:space="preserve">Deals where Deal Date Identified falls in 2026?</t>
  </si>
  <si>
    <t xml:space="preserve">SELECT dealname, deal_date_identified FROM DEAL WHERE deal_date_identified BETWEEN '2026-01-01' AND '2026-12-31'</t>
  </si>
  <si>
    <t xml:space="preserve">deal_date_qualified</t>
  </si>
  <si>
    <t xml:space="preserve">Deal date qualified</t>
  </si>
  <si>
    <t xml:space="preserve">deal date qualified</t>
  </si>
  <si>
    <t xml:space="preserve">Deals where Deal date qualified falls in 2026?</t>
  </si>
  <si>
    <t xml:space="preserve">SELECT dealname, deal_date_qualified FROM DEAL WHERE deal_date_qualified BETWEEN '2026-01-01' AND '2026-12-31'</t>
  </si>
  <si>
    <t xml:space="preserve">design_in_date</t>
  </si>
  <si>
    <t xml:space="preserve">DATE - 3.b Design In (Hardware only)</t>
  </si>
  <si>
    <t xml:space="preserve">design in date (hardware)</t>
  </si>
  <si>
    <t xml:space="preserve">Hardware design-ins this year?</t>
  </si>
  <si>
    <t xml:space="preserve">SELECT dealname, design_in_date FROM DEAL WHERE design_in_date BETWEEN '2026-01-01' AND '2026-12-31'</t>
  </si>
  <si>
    <t xml:space="preserve">design_win_date</t>
  </si>
  <si>
    <t xml:space="preserve">DATE - 4. Design Win (Hardware only)</t>
  </si>
  <si>
    <t xml:space="preserve">design win date (hardware)</t>
  </si>
  <si>
    <t xml:space="preserve">Hardware design wins this year?</t>
  </si>
  <si>
    <t xml:space="preserve">SELECT dealname, design_win_date, amount_in_home_currency FROM DEAL WHERE design_win_date BETWEEN '2026-01-01' AND '2026-12-31'</t>
  </si>
  <si>
    <t xml:space="preserve">expected_decision_date</t>
  </si>
  <si>
    <t xml:space="preserve">DATE - 0.a Expected Decision date</t>
  </si>
  <si>
    <t xml:space="preserve">decision date, expected decision</t>
  </si>
  <si>
    <t xml:space="preserve">Customer decisions expected this quarter?</t>
  </si>
  <si>
    <t xml:space="preserve">SELECT dealname, expected_decision_date FROM DEAL WHERE expected_decision_date BETWEEN '2026-07-01' AND '2026-09-30'</t>
  </si>
  <si>
    <t xml:space="preserve">expected_design_date</t>
  </si>
  <si>
    <t xml:space="preserve">Expected Design date</t>
  </si>
  <si>
    <t xml:space="preserve">expected design date</t>
  </si>
  <si>
    <t xml:space="preserve">Deals where Expected Design date falls in 2026?</t>
  </si>
  <si>
    <t xml:space="preserve">SELECT dealname, expected_design_date FROM DEAL WHERE expected_design_date BETWEEN '2026-01-01' AND '2026-12-31'</t>
  </si>
  <si>
    <t xml:space="preserve">expected_production_date</t>
  </si>
  <si>
    <t xml:space="preserve">DATE - 0.b Expected Production date</t>
  </si>
  <si>
    <t xml:space="preserve">expected production, SOP</t>
  </si>
  <si>
    <t xml:space="preserve">Deals with expected production in 2027?</t>
  </si>
  <si>
    <t xml:space="preserve">SELECT dealname, expected_production_date FROM DEAL WHERE expected_production_date BETWEEN '2027-01-01' AND '2027-12-31'</t>
  </si>
  <si>
    <t xml:space="preserve">hs_lastmodifieddate</t>
  </si>
  <si>
    <t xml:space="preserve">Last Modified Date</t>
  </si>
  <si>
    <t xml:space="preserve">last modified date</t>
  </si>
  <si>
    <t xml:space="preserve">Deals where Last Modified Date falls in 2026?</t>
  </si>
  <si>
    <t xml:space="preserve">SELECT dealname, hs_lastmodifieddate FROM DEAL WHERE hs_lastmodifieddate BETWEEN '2026-01-01' AND '2026-12-31'</t>
  </si>
  <si>
    <t xml:space="preserve">hubspot_owner_assigneddate</t>
  </si>
  <si>
    <t xml:space="preserve">Owner assigned date</t>
  </si>
  <si>
    <t xml:space="preserve">owner assigned date</t>
  </si>
  <si>
    <t xml:space="preserve">Deals where Owner assigned date falls in 2026?</t>
  </si>
  <si>
    <t xml:space="preserve">SELECT dealname, hubspot_owner_assigneddate FROM DEAL WHERE hubspot_owner_assigneddate BETWEEN '2026-01-01' AND '2026-12-31'</t>
  </si>
  <si>
    <t xml:space="preserve">DATE - 1. Identified</t>
  </si>
  <si>
    <t xml:space="preserve">identified date, first seen</t>
  </si>
  <si>
    <t xml:space="preserve">Deals identified in 2026?</t>
  </si>
  <si>
    <t xml:space="preserve">SELECT COUNT(*) FROM DEAL WHERE identified_date BETWEEN '2026-01-01' AND '2026-12-31'</t>
  </si>
  <si>
    <t xml:space="preserve">mass_production_date</t>
  </si>
  <si>
    <t xml:space="preserve">DATE - 5.b Mass Production date</t>
  </si>
  <si>
    <t xml:space="preserve">mass production, ramp, MP date</t>
  </si>
  <si>
    <t xml:space="preserve">Which deals go to mass production next year?</t>
  </si>
  <si>
    <t xml:space="preserve">SELECT dealname, mass_production_date FROM DEAL WHERE mass_production_date BETWEEN '2027-01-01' AND '2027-12-31'</t>
  </si>
  <si>
    <t xml:space="preserve">negotiate_date</t>
  </si>
  <si>
    <t xml:space="preserve">DATE - 3.a Design In (Services Only)</t>
  </si>
  <si>
    <t xml:space="preserve">date - 3.a design in (services only)</t>
  </si>
  <si>
    <t xml:space="preserve">Deals where DATE - 3.a Design In (Services Only) falls in 2026?</t>
  </si>
  <si>
    <t xml:space="preserve">SELECT dealname, negotiate_date FROM DEAL WHERE negotiate_date BETWEEN '2026-01-01' AND '2026-12-31'</t>
  </si>
  <si>
    <t xml:space="preserve">num_dateidentified</t>
  </si>
  <si>
    <t xml:space="preserve">Num-DateIdentified</t>
  </si>
  <si>
    <t xml:space="preserve">num-dateidentified</t>
  </si>
  <si>
    <t xml:space="preserve">Deals where Num-DateIdentified falls in 2026?</t>
  </si>
  <si>
    <t xml:space="preserve">SELECT dealname, num_dateidentified FROM DEAL WHERE num_dateidentified BETWEEN '2026-01-01' AND '2026-12-31'</t>
  </si>
  <si>
    <t xml:space="preserve">qualified_date</t>
  </si>
  <si>
    <t xml:space="preserve">DATE - 2. Qualified</t>
  </si>
  <si>
    <t xml:space="preserve">qualified date</t>
  </si>
  <si>
    <t xml:space="preserve">Deals qualified last month?</t>
  </si>
  <si>
    <t xml:space="preserve">SELECT COUNT(*) FROM DEAL WHERE qualified_date BETWEEN '2026-08-01' AND '2026-08-31'</t>
  </si>
  <si>
    <t xml:space="preserve">ccicalps_netamount</t>
  </si>
  <si>
    <t xml:space="preserve">[cc]IcAlps_NetAmount</t>
  </si>
  <si>
    <t xml:space="preserve">ICALPS legacy (migrated)</t>
  </si>
  <si>
    <t xml:space="preserve">LEGACY (ICALPS)</t>
  </si>
  <si>
    <t xml:space="preserve">[cc]icalps_netamount</t>
  </si>
  <si>
    <t xml:space="preserve">What is the total / average [cc]IcAlps_NetAmount?</t>
  </si>
  <si>
    <t xml:space="preserve">SELECT SUM(ccicalps_netamount), AVG(ccicalps_netamount) FROM DEAL WHERE ccicalps_netamount IS NOT NULL</t>
  </si>
  <si>
    <t xml:space="preserve">ccicalps_netweightedamount</t>
  </si>
  <si>
    <t xml:space="preserve">[cc]IcAlps_NetWeightedAmount</t>
  </si>
  <si>
    <t xml:space="preserve">[cc]icalps_netweightedamount</t>
  </si>
  <si>
    <t xml:space="preserve">What is the total / average [cc]IcAlps_NetWeightedAmount?</t>
  </si>
  <si>
    <t xml:space="preserve">SELECT SUM(ccicalps_netweightedamount), AVG(ccicalps_netweightedamount) FROM DEAL WHERE ccicalps_netweightedamount IS NOT NULL</t>
  </si>
  <si>
    <t xml:space="preserve">ccicalps_weightedamount</t>
  </si>
  <si>
    <t xml:space="preserve">[cc]IcAlps_WeightedAmount</t>
  </si>
  <si>
    <t xml:space="preserve">[cc]icalps_weightedamount</t>
  </si>
  <si>
    <t xml:space="preserve">What is the total / average [cc]IcAlps_WeightedAmount?</t>
  </si>
  <si>
    <t xml:space="preserve">SELECT SUM(ccicalps_weightedamount), AVG(ccicalps_weightedamount) FROM DEAL WHERE ccicalps_weightedamount IS NOT NULL</t>
  </si>
  <si>
    <t xml:space="preserve">ic_alps_cost</t>
  </si>
  <si>
    <t xml:space="preserve">IcAlps_cost (k€)</t>
  </si>
  <si>
    <t xml:space="preserve">cost, icalps cost, k€</t>
  </si>
  <si>
    <t xml:space="preserve">Total IC'Alps cost (k€) on won deals?</t>
  </si>
  <si>
    <t xml:space="preserve">SELECT SUM(ic_alps_cost) FROM DEAL WHERE hs_is_closed_won = true</t>
  </si>
  <si>
    <t xml:space="preserve">icalps_closedate</t>
  </si>
  <si>
    <t xml:space="preserve">IcAlps_EffectiveCloseDate</t>
  </si>
  <si>
    <t xml:space="preserve">icalps_effectiveclosedate</t>
  </si>
  <si>
    <t xml:space="preserve">Deals where IcAlps_EffectiveCloseDate falls in 2026?</t>
  </si>
  <si>
    <t xml:space="preserve">SELECT dealname, icalps_closedate FROM DEAL WHERE icalps_closedate BETWEEN '2026-01-01' AND '2026-12-31'</t>
  </si>
  <si>
    <t xml:space="preserve">icalps_company_id</t>
  </si>
  <si>
    <t xml:space="preserve">Deals where icalps_company_id contains a keyword?</t>
  </si>
  <si>
    <t xml:space="preserve">SELECT dealname, icalps_company_id FROM DEAL WHERE icalps_company_id LIKE '%keyword%'</t>
  </si>
  <si>
    <t xml:space="preserve">icalps_contact_id</t>
  </si>
  <si>
    <t xml:space="preserve">Deals where icalps_contact_id contains a keyword?</t>
  </si>
  <si>
    <t xml:space="preserve">SELECT dealname, icalps_contact_id FROM DEAL WHERE icalps_contact_id LIKE '%keyword%'</t>
  </si>
  <si>
    <t xml:space="preserve">icalps_deal_id</t>
  </si>
  <si>
    <t xml:space="preserve">Deals where icalps_deal_id contains a keyword?</t>
  </si>
  <si>
    <t xml:space="preserve">SELECT dealname, icalps_deal_id FROM DEAL WHERE icalps_deal_id LIKE '%keyword%'</t>
  </si>
  <si>
    <t xml:space="preserve">icalps_dealcertainty</t>
  </si>
  <si>
    <t xml:space="preserve">Deals where icalps_dealcertainty contains a keyword?</t>
  </si>
  <si>
    <t xml:space="preserve">SELECT dealname, icalps_dealcertainty FROM DEAL WHERE icalps_dealcertainty LIKE '%keyword%'</t>
  </si>
  <si>
    <t xml:space="preserve">icalps_dealforecast</t>
  </si>
  <si>
    <t xml:space="preserve">What is the total / average icalps_dealforecast?</t>
  </si>
  <si>
    <t xml:space="preserve">SELECT SUM(icalps_dealforecast), AVG(icalps_dealforecast) FROM DEAL WHERE icalps_dealforecast IS NOT NULL</t>
  </si>
  <si>
    <t xml:space="preserve">icalps_dealnotes</t>
  </si>
  <si>
    <t xml:space="preserve">Deals where icalps_dealnotes contains a keyword?</t>
  </si>
  <si>
    <t xml:space="preserve">SELECT dealname, icalps_dealnotes FROM DEAL WHERE icalps_dealnotes LIKE '%keyword%'</t>
  </si>
  <si>
    <t xml:space="preserve">icalps_dealprimarycontactfirstname</t>
  </si>
  <si>
    <t xml:space="preserve">IcAlps_DealPrimaryContactFirstName</t>
  </si>
  <si>
    <t xml:space="preserve">Deals where IcAlps_DealPrimaryContactFirstName contains a keyword?</t>
  </si>
  <si>
    <t xml:space="preserve">SELECT dealname, icalps_dealprimarycontactfirstname FROM DEAL WHERE icalps_dealprimarycontactfirstname LIKE '%keyword%'</t>
  </si>
  <si>
    <t xml:space="preserve">icalps_dealtype</t>
  </si>
  <si>
    <t xml:space="preserve">Deals where icalps_dealtype contains a keyword?</t>
  </si>
  <si>
    <t xml:space="preserve">SELECT dealname, icalps_dealtype FROM DEAL WHERE icalps_dealtype LIKE '%keyword%'</t>
  </si>
  <si>
    <t xml:space="preserve">icalps_net_weighted_amount</t>
  </si>
  <si>
    <t xml:space="preserve">IcAlps_Net_Weighted_Amount (k€)</t>
  </si>
  <si>
    <t xml:space="preserve">icalps_net_weighted_amount (k€)</t>
  </si>
  <si>
    <t xml:space="preserve">What is the total / average IcAlps_Net_Weighted_Amount (k€)?</t>
  </si>
  <si>
    <t xml:space="preserve">SELECT SUM(icalps_net_weighted_amount), AVG(icalps_net_weighted_amount) FROM DEAL WHERE icalps_net_weighted_amount IS NOT NULL</t>
  </si>
  <si>
    <t xml:space="preserve">icalps_netamount</t>
  </si>
  <si>
    <t xml:space="preserve">IcAlps_NetAmount</t>
  </si>
  <si>
    <t xml:space="preserve">What is the total / average IcAlps_NetAmount?</t>
  </si>
  <si>
    <t xml:space="preserve">SELECT SUM(icalps_netamount), AVG(icalps_netamount) FROM DEAL WHERE icalps_netamount IS NOT NULL</t>
  </si>
  <si>
    <t xml:space="preserve">icalps_netweighted_amount__k__</t>
  </si>
  <si>
    <t xml:space="preserve">icalps_netweighted_amount (k€)</t>
  </si>
  <si>
    <t xml:space="preserve">What is the total / average icalps_netweighted_amount (k€)?</t>
  </si>
  <si>
    <t xml:space="preserve">SELECT SUM(icalps_netweighted_amount__k__), AVG(icalps_netweighted_amount__k__) FROM DEAL WHERE icalps_netweighted_amount__k__ IS NOT NULL</t>
  </si>
  <si>
    <t xml:space="preserve">icalps_opendate</t>
  </si>
  <si>
    <t xml:space="preserve">IcAlps_OpenDate</t>
  </si>
  <si>
    <t xml:space="preserve">Deals where IcAlps_OpenDate falls in 2026?</t>
  </si>
  <si>
    <t xml:space="preserve">SELECT dealname, icalps_opendate FROM DEAL WHERE icalps_opendate BETWEEN '2026-01-01' AND '2026-12-31'</t>
  </si>
  <si>
    <t xml:space="preserve">icalps_oppocertainty</t>
  </si>
  <si>
    <t xml:space="preserve">IcAlps_OppoCertainty</t>
  </si>
  <si>
    <t xml:space="preserve">What is the total / average IcAlps_OppoCertainty?</t>
  </si>
  <si>
    <t xml:space="preserve">SELECT SUM(icalps_oppocertainty), AVG(icalps_oppocertainty) FROM DEAL WHERE icalps_oppocertainty IS NOT NULL</t>
  </si>
  <si>
    <t xml:space="preserve">icalps_primarycontactlastname</t>
  </si>
  <si>
    <t xml:space="preserve">IcAlps_PrimaryContactLastName</t>
  </si>
  <si>
    <t xml:space="preserve">Deals where IcAlps_PrimaryContactLastName contains a keyword?</t>
  </si>
  <si>
    <t xml:space="preserve">SELECT dealname, icalps_primarycontactlastname FROM DEAL WHERE icalps_primarycontactlastname LIKE '%keyword%'</t>
  </si>
  <si>
    <t xml:space="preserve">icalps_primarydealcompany</t>
  </si>
  <si>
    <t xml:space="preserve">IcAlps_PrimaryDealCompany</t>
  </si>
  <si>
    <t xml:space="preserve">What is the total / average IcAlps_PrimaryDealCompany?</t>
  </si>
  <si>
    <t xml:space="preserve">SELECT SUM(icalps_primarydealcompany), AVG(icalps_primarydealcompany) FROM DEAL WHERE icalps_primarydealcompany IS NOT NULL</t>
  </si>
  <si>
    <t xml:space="preserve">icalps_primaryoppocontact</t>
  </si>
  <si>
    <t xml:space="preserve">IcAlps_PrimaryOppoContact</t>
  </si>
  <si>
    <t xml:space="preserve">Deals where IcAlps_PrimaryOppoContact contains a keyword?</t>
  </si>
  <si>
    <t xml:space="preserve">SELECT dealname, icalps_primaryoppocontact FROM DEAL WHERE icalps_primaryoppocontact LIKE '%keyword%'</t>
  </si>
  <si>
    <t xml:space="preserve">icalps_targetclose</t>
  </si>
  <si>
    <t xml:space="preserve">IcAlps_TargetClose</t>
  </si>
  <si>
    <t xml:space="preserve">Deals where IcAlps_TargetClose falls in 2026?</t>
  </si>
  <si>
    <t xml:space="preserve">SELECT dealname, icalps_targetclose FROM DEAL WHERE icalps_targetclose BETWEEN '2026-01-01' AND '2026-12-31'</t>
  </si>
  <si>
    <t xml:space="preserve">dealname</t>
  </si>
  <si>
    <t xml:space="preserve">Deal Name</t>
  </si>
  <si>
    <t xml:space="preserve">Identity &amp; text</t>
  </si>
  <si>
    <t xml:space="preserve">The name given to this deal.</t>
  </si>
  <si>
    <t xml:space="preserve">deal name, called, named (FALLBACK — not for product questions)</t>
  </si>
  <si>
    <t xml:space="preserve">Find deals whose name mentions Alcom (fallback only).</t>
  </si>
  <si>
    <t xml:space="preserve">SELECT dealname, prod___product_name_new_ FROM DEAL WHERE dealname LIKE '%Alcom%'</t>
  </si>
  <si>
    <t xml:space="preserve">Deal Description</t>
  </si>
  <si>
    <t xml:space="preserve">Description of the deal</t>
  </si>
  <si>
    <t xml:space="preserve">description, notes, mentions</t>
  </si>
  <si>
    <t xml:space="preserve">Deals whose description mentions LoRa?</t>
  </si>
  <si>
    <t xml:space="preserve">SELECT dealname FROM DEAL WHERE description LIKE '%LoRa%'</t>
  </si>
  <si>
    <t xml:space="preserve">hs_object_id</t>
  </si>
  <si>
    <t xml:space="preserve">Record ID</t>
  </si>
  <si>
    <t xml:space="preserve">The unique ID for this record.</t>
  </si>
  <si>
    <t xml:space="preserve">record id, deal id</t>
  </si>
  <si>
    <t xml:space="preserve">Open deal 12345.</t>
  </si>
  <si>
    <t xml:space="preserve">SELECT dealname, dealstage, amount_in_home_currency FROM DEAL WHERE hs_object_id = '12345'</t>
  </si>
  <si>
    <t xml:space="preserve">asp_in_usd_q3_2021</t>
  </si>
  <si>
    <t xml:space="preserve">ASP in USD Q3 2021</t>
  </si>
  <si>
    <t xml:space="preserve">Legacy monthly/quarterly forecast 2021-2023</t>
  </si>
  <si>
    <t xml:space="preserve">LEGACY</t>
  </si>
  <si>
    <t xml:space="preserve">legacy forecast</t>
  </si>
  <si>
    <t xml:space="preserve">[LEGACY 2021-2023] ASP in USD Q3 2021 — do not use for current reporting.</t>
  </si>
  <si>
    <t xml:space="preserve">SELECT SUM(asp_in_usd_q3_2021) FROM DEAL WHERE asp_in_usd_q3_2021 IS NOT NULL</t>
  </si>
  <si>
    <t xml:space="preserve">asp_in_usd_q3_2022</t>
  </si>
  <si>
    <t xml:space="preserve">ASP in USD Q3 2022</t>
  </si>
  <si>
    <t xml:space="preserve">[LEGACY 2021-2023] ASP in USD Q3 2022 — do not use for current reporting.</t>
  </si>
  <si>
    <t xml:space="preserve">SELECT SUM(asp_in_usd_q3_2022) FROM DEAL WHERE asp_in_usd_q3_2022 IS NOT NULL</t>
  </si>
  <si>
    <t xml:space="preserve">asp_in_usd_q3_2022_calculation</t>
  </si>
  <si>
    <t xml:space="preserve">CALCULATION - ASP in USD 2022 Q3</t>
  </si>
  <si>
    <t xml:space="preserve">[LEGACY 2021-2023] CALCULATION - ASP in USD 2022 Q3 — do not use for current reporting.</t>
  </si>
  <si>
    <t xml:space="preserve">SELECT SUM(asp_in_usd_q3_2022_calculation) FROM DEAL WHERE asp_in_usd_q3_2022_calculation IS NOT NULL</t>
  </si>
  <si>
    <t xml:space="preserve">asp_in_usd_q4_2021</t>
  </si>
  <si>
    <t xml:space="preserve">ASP in USD Q4 2021</t>
  </si>
  <si>
    <t xml:space="preserve">[LEGACY 2021-2023] ASP in USD Q4 2021 — do not use for current reporting.</t>
  </si>
  <si>
    <t xml:space="preserve">SELECT SUM(asp_in_usd_q4_2021) FROM DEAL WHERE asp_in_usd_q4_2021 IS NOT NULL</t>
  </si>
  <si>
    <t xml:space="preserve">asp_in_usd_q4_2022</t>
  </si>
  <si>
    <t xml:space="preserve">ASP in USD Q4 2022</t>
  </si>
  <si>
    <t xml:space="preserve">[LEGACY 2021-2023] ASP in USD Q4 2022 — do not use for current reporting.</t>
  </si>
  <si>
    <t xml:space="preserve">SELECT SUM(asp_in_usd_q4_2022) FROM DEAL WHERE asp_in_usd_q4_2022 IS NOT NULL</t>
  </si>
  <si>
    <t xml:space="preserve">asp_in_usd_q4_2022_calculation</t>
  </si>
  <si>
    <t xml:space="preserve">CALCULATION - ASP in USD 2022 Q4</t>
  </si>
  <si>
    <t xml:space="preserve">[LEGACY 2021-2023] CALCULATION - ASP in USD 2022 Q4 — do not use for current reporting.</t>
  </si>
  <si>
    <t xml:space="preserve">SELECT SUM(asp_in_usd_q4_2022_calculation) FROM DEAL WHERE asp_in_usd_q4_2022_calculation IS NOT NULL</t>
  </si>
  <si>
    <t xml:space="preserve">asp_q1</t>
  </si>
  <si>
    <t xml:space="preserve">ASP Q1 2023</t>
  </si>
  <si>
    <t xml:space="preserve">[LEGACY 2021-2023] ASP Q1 2023 — do not use for current reporting.</t>
  </si>
  <si>
    <t xml:space="preserve">SELECT SUM(asp_q1) FROM DEAL WHERE asp_q1 IS NOT NULL</t>
  </si>
  <si>
    <t xml:space="preserve">asp_q1_2022</t>
  </si>
  <si>
    <t xml:space="preserve">ASP Q1 2022</t>
  </si>
  <si>
    <t xml:space="preserve">[LEGACY 2021-2023] ASP Q1 2022 — do not use for current reporting.</t>
  </si>
  <si>
    <t xml:space="preserve">SELECT SUM(asp_q1_2022) FROM DEAL WHERE asp_q1_2022 IS NOT NULL</t>
  </si>
  <si>
    <t xml:space="preserve">asp_q2</t>
  </si>
  <si>
    <t xml:space="preserve">ASP Q2 2021</t>
  </si>
  <si>
    <t xml:space="preserve">[LEGACY 2021-2023] ASP Q2 2021 — do not use for current reporting.</t>
  </si>
  <si>
    <t xml:space="preserve">SELECT SUM(asp_q2) FROM DEAL WHERE asp_q2 IS NOT NULL</t>
  </si>
  <si>
    <t xml:space="preserve">asp_q2_2022</t>
  </si>
  <si>
    <t xml:space="preserve">ASP Q2 2022</t>
  </si>
  <si>
    <t xml:space="preserve">[LEGACY 2021-2023] ASP Q2 2022 — do not use for current reporting.</t>
  </si>
  <si>
    <t xml:space="preserve">SELECT SUM(asp_q2_2022) FROM DEAL WHERE asp_q2_2022 IS NOT NULL</t>
  </si>
  <si>
    <t xml:space="preserve">asp_q3</t>
  </si>
  <si>
    <t xml:space="preserve">ASP Q3 2021</t>
  </si>
  <si>
    <t xml:space="preserve">[LEGACY 2021-2023] ASP Q3 2021 — do not use for current reporting.</t>
  </si>
  <si>
    <t xml:space="preserve">SELECT SUM(asp_q3) FROM DEAL WHERE asp_q3 IS NOT NULL</t>
  </si>
  <si>
    <t xml:space="preserve">asp_q3_2022</t>
  </si>
  <si>
    <t xml:space="preserve">ASP Q3 2022</t>
  </si>
  <si>
    <t xml:space="preserve">[LEGACY 2021-2023] ASP Q3 2022 — do not use for current reporting.</t>
  </si>
  <si>
    <t xml:space="preserve">SELECT SUM(asp_q3_2022) FROM DEAL WHERE asp_q3_2022 IS NOT NULL</t>
  </si>
  <si>
    <t xml:space="preserve">asp_q4</t>
  </si>
  <si>
    <t xml:space="preserve">ASP Q4 2021</t>
  </si>
  <si>
    <t xml:space="preserve">[LEGACY 2021-2023] ASP Q4 2021 — do not use for current reporting.</t>
  </si>
  <si>
    <t xml:space="preserve">SELECT SUM(asp_q4) FROM DEAL WHERE asp_q4 IS NOT NULL</t>
  </si>
  <si>
    <t xml:space="preserve">asp_q4_2022</t>
  </si>
  <si>
    <t xml:space="preserve">ASP Q4 2022</t>
  </si>
  <si>
    <t xml:space="preserve">[LEGACY 2021-2023] ASP Q4 2022 — do not use for current reporting.</t>
  </si>
  <si>
    <t xml:space="preserve">SELECT SUM(asp_q4_2022) FROM DEAL WHERE asp_q4_2022 IS NOT NULL</t>
  </si>
  <si>
    <t xml:space="preserve">forecasted_revenue__k_____april_2021</t>
  </si>
  <si>
    <t xml:space="preserve">Forecasted Revenue (k$) - April 2021</t>
  </si>
  <si>
    <t xml:space="preserve">[LEGACY 2021-2023] Forecasted Revenue (k$) - April 2021 — do not use for current reporting.</t>
  </si>
  <si>
    <t xml:space="preserve">SELECT SUM(forecasted_revenue__k_____april_2021) FROM DEAL WHERE forecasted_revenue__k_____april_2021 IS NOT NULL</t>
  </si>
  <si>
    <t xml:space="preserve">forecasted_revenue__k_____april_2022</t>
  </si>
  <si>
    <t xml:space="preserve">Forecasted Revenue (k$) - April 2022</t>
  </si>
  <si>
    <t xml:space="preserve">[LEGACY 2021-2023] Forecasted Revenue (k$) - April 2022 — do not use for current reporting.</t>
  </si>
  <si>
    <t xml:space="preserve">SELECT SUM(forecasted_revenue__k_____april_2022) FROM DEAL WHERE forecasted_revenue__k_____april_2022 IS NOT NULL</t>
  </si>
  <si>
    <t xml:space="preserve">forecasted_revenue__k_____august_2021</t>
  </si>
  <si>
    <t xml:space="preserve">Forecasted Revenue (k$) - August 2021</t>
  </si>
  <si>
    <t xml:space="preserve">[LEGACY 2021-2023] Forecasted Revenue (k$) - August 2021 — do not use for current reporting.</t>
  </si>
  <si>
    <t xml:space="preserve">SELECT SUM(forecasted_revenue__k_____august_2021) FROM DEAL WHERE forecasted_revenue__k_____august_2021 IS NOT NULL</t>
  </si>
  <si>
    <t xml:space="preserve">forecasted_revenue__k_____august_2021_calculation</t>
  </si>
  <si>
    <t xml:space="preserve">CALCULATION - Forecasted Revenue (k$) - August 2021</t>
  </si>
  <si>
    <t xml:space="preserve">[LEGACY 2021-2023] CALCULATION - Forecasted Revenue (k$) - August 2021 — do not use for current reporting.</t>
  </si>
  <si>
    <t xml:space="preserve">SELECT SUM(forecasted_revenue__k_____august_2021_calculation) FROM DEAL WHERE forecasted_revenue__k_____august_2021_calculation IS NOT NULL</t>
  </si>
  <si>
    <t xml:space="preserve">forecasted_revenue__k_____august_2022</t>
  </si>
  <si>
    <t xml:space="preserve">Forecasted Revenue (k$) - August 2022</t>
  </si>
  <si>
    <t xml:space="preserve">[LEGACY 2021-2023] Forecasted Revenue (k$) - August 2022 — do not use for current reporting.</t>
  </si>
  <si>
    <t xml:space="preserve">SELECT SUM(forecasted_revenue__k_____august_2022) FROM DEAL WHERE forecasted_revenue__k_____august_2022 IS NOT NULL</t>
  </si>
  <si>
    <t xml:space="preserve">forecasted_revenue__k_____august_2022_calculation</t>
  </si>
  <si>
    <t xml:space="preserve">CALCULATION - Forecasted Revenue (k$) - August 2022</t>
  </si>
  <si>
    <t xml:space="preserve">[LEGACY 2021-2023] CALCULATION - Forecasted Revenue (k$) - August 2022 — do not use for current reporting.</t>
  </si>
  <si>
    <t xml:space="preserve">SELECT SUM(forecasted_revenue__k_____august_2022_calculation) FROM DEAL WHERE forecasted_revenue__k_____august_2022_calculation IS NOT NULL</t>
  </si>
  <si>
    <t xml:space="preserve">forecasted_revenue__k_____december_2021</t>
  </si>
  <si>
    <t xml:space="preserve">Forecasted Revenue (k$) - December 2021</t>
  </si>
  <si>
    <t xml:space="preserve">[LEGACY 2021-2023] Forecasted Revenue (k$) - December 2021 — do not use for current reporting.</t>
  </si>
  <si>
    <t xml:space="preserve">SELECT SUM(forecasted_revenue__k_____december_2021) FROM DEAL WHERE forecasted_revenue__k_____december_2021 IS NOT NULL</t>
  </si>
  <si>
    <t xml:space="preserve">forecasted_revenue__k_____december_2022</t>
  </si>
  <si>
    <t xml:space="preserve">Forecasted Revenue (k$) - December 2022</t>
  </si>
  <si>
    <t xml:space="preserve">[LEGACY 2021-2023] Forecasted Revenue (k$) - December 2022 — do not use for current reporting.</t>
  </si>
  <si>
    <t xml:space="preserve">SELECT SUM(forecasted_revenue__k_____december_2022) FROM DEAL WHERE forecasted_revenue__k_____december_2022 IS NOT NULL</t>
  </si>
  <si>
    <t xml:space="preserve">forecasted_revenue__k_____december_2022_calculation</t>
  </si>
  <si>
    <t xml:space="preserve">CALCULATION - Forecasted Revenue (k$) - December 2022</t>
  </si>
  <si>
    <t xml:space="preserve">[LEGACY 2021-2023] CALCULATION - Forecasted Revenue (k$) - December 2022 — do not use for current reporting.</t>
  </si>
  <si>
    <t xml:space="preserve">SELECT SUM(forecasted_revenue__k_____december_2022_calculation) FROM DEAL WHERE forecasted_revenue__k_____december_2022_calculation IS NOT NULL</t>
  </si>
  <si>
    <t xml:space="preserve">forecasted_revenue__k_____february_2022</t>
  </si>
  <si>
    <t xml:space="preserve">Forecasted Revenue (k$) - February 2022</t>
  </si>
  <si>
    <t xml:space="preserve">[LEGACY 2021-2023] Forecasted Revenue (k$) - February 2022 — do not use for current reporting.</t>
  </si>
  <si>
    <t xml:space="preserve">SELECT SUM(forecasted_revenue__k_____february_2022) FROM DEAL WHERE forecasted_revenue__k_____february_2022 IS NOT NULL</t>
  </si>
  <si>
    <t xml:space="preserve">forecasted_revenue__k_____february_2022_calculation</t>
  </si>
  <si>
    <t xml:space="preserve">CALCULATION - Forecasted Revenue (k$) - February 2022</t>
  </si>
  <si>
    <t xml:space="preserve">[LEGACY 2021-2023] CALCULATION - Forecasted Revenue (k$) - February 2022 — do not use for current reporting.</t>
  </si>
  <si>
    <t xml:space="preserve">SELECT SUM(forecasted_revenue__k_____february_2022_calculation) FROM DEAL WHERE forecasted_revenue__k_____february_2022_calculation IS NOT NULL</t>
  </si>
  <si>
    <t xml:space="preserve">forecasted_revenue__k_____february_2023</t>
  </si>
  <si>
    <t xml:space="preserve">Forecasted Revenue (k$) - February 2023</t>
  </si>
  <si>
    <t xml:space="preserve">[LEGACY 2021-2023] Forecasted Revenue (k$) - February 2023 — do not use for current reporting.</t>
  </si>
  <si>
    <t xml:space="preserve">SELECT SUM(forecasted_revenue__k_____february_2023) FROM DEAL WHERE forecasted_revenue__k_____february_2023 IS NOT NULL</t>
  </si>
  <si>
    <t xml:space="preserve">forecasted_revenue__k_____february_2023_calculation</t>
  </si>
  <si>
    <t xml:space="preserve">CALCULATION - Forecasted Revenue (k$) - February 2023</t>
  </si>
  <si>
    <t xml:space="preserve">[LEGACY 2021-2023] CALCULATION - Forecasted Revenue (k$) - February 2023 — do not use for current reporting.</t>
  </si>
  <si>
    <t xml:space="preserve">SELECT SUM(forecasted_revenue__k_____february_2023_calculation) FROM DEAL WHERE forecasted_revenue__k_____february_2023_calculation IS NOT NULL</t>
  </si>
  <si>
    <t xml:space="preserve">forecasted_revenue__k_____january_2021</t>
  </si>
  <si>
    <t xml:space="preserve">Forecasted Revenue (k$) - January 2022</t>
  </si>
  <si>
    <t xml:space="preserve">RECYCLED: label 'Forecasted Revenue (k$) - January 2022' has nothing to do with internal name</t>
  </si>
  <si>
    <t xml:space="preserve">[LEGACY 2021-2023] Forecasted Revenue (k$) - January 2022 — do not use for current reporting.</t>
  </si>
  <si>
    <t xml:space="preserve">SELECT SUM(forecasted_revenue__k_____january_2021) FROM DEAL WHERE forecasted_revenue__k_____january_2021 IS NOT NULL</t>
  </si>
  <si>
    <t xml:space="preserve">forecasted_revenue__k_____january_2023</t>
  </si>
  <si>
    <t xml:space="preserve">Forecasted Revenue (k$) - January 2023</t>
  </si>
  <si>
    <t xml:space="preserve">[LEGACY 2021-2023] Forecasted Revenue (k$) - January 2023 — do not use for current reporting.</t>
  </si>
  <si>
    <t xml:space="preserve">SELECT SUM(forecasted_revenue__k_____january_2023) FROM DEAL WHERE forecasted_revenue__k_____january_2023 IS NOT NULL</t>
  </si>
  <si>
    <t xml:space="preserve">forecasted_revenue__k_____january__2022_calculation</t>
  </si>
  <si>
    <t xml:space="preserve">CALCULATION - Forecasted Revenue (k$) - January  2022</t>
  </si>
  <si>
    <t xml:space="preserve">[LEGACY 2021-2023] CALCULATION - Forecasted Revenue (k$) - January  2022 — do not use for current reporting.</t>
  </si>
  <si>
    <t xml:space="preserve">SELECT SUM(forecasted_revenue__k_____january__2022_calculation) FROM DEAL WHERE forecasted_revenue__k_____january__2022_calculation IS NOT NULL</t>
  </si>
  <si>
    <t xml:space="preserve">forecasted_revenue__k_____january__2023_calculation</t>
  </si>
  <si>
    <t xml:space="preserve">CALCULATION - Forecasted Revenue (k$) - January  2023</t>
  </si>
  <si>
    <t xml:space="preserve">[LEGACY 2021-2023] CALCULATION - Forecasted Revenue (k$) - January  2023 — do not use for current reporting.</t>
  </si>
  <si>
    <t xml:space="preserve">SELECT SUM(forecasted_revenue__k_____january__2023_calculation) FROM DEAL WHERE forecasted_revenue__k_____january__2023_calculation IS NOT NULL</t>
  </si>
  <si>
    <t xml:space="preserve">forecasted_revenue__k_____july_2021</t>
  </si>
  <si>
    <t xml:space="preserve">Forecasted Revenue (k$) - July 2021</t>
  </si>
  <si>
    <t xml:space="preserve">[LEGACY 2021-2023] Forecasted Revenue (k$) - July 2021 — do not use for current reporting.</t>
  </si>
  <si>
    <t xml:space="preserve">SELECT SUM(forecasted_revenue__k_____july_2021) FROM DEAL WHERE forecasted_revenue__k_____july_2021 IS NOT NULL</t>
  </si>
  <si>
    <t xml:space="preserve">forecasted_revenue__k_____july_2021_calculation</t>
  </si>
  <si>
    <t xml:space="preserve">CALCULATION - Forecasted Revenue (k$) - July 2021</t>
  </si>
  <si>
    <t xml:space="preserve">[LEGACY 2021-2023] CALCULATION - Forecasted Revenue (k$) - July 2021 — do not use for current reporting.</t>
  </si>
  <si>
    <t xml:space="preserve">SELECT SUM(forecasted_revenue__k_____july_2021_calculation) FROM DEAL WHERE forecasted_revenue__k_____july_2021_calculation IS NOT NULL</t>
  </si>
  <si>
    <t xml:space="preserve">forecasted_revenue__k_____july_2022</t>
  </si>
  <si>
    <t xml:space="preserve">Forecasted Revenue (k$) - July 2022</t>
  </si>
  <si>
    <t xml:space="preserve">[LEGACY 2021-2023] Forecasted Revenue (k$) - July 2022 — do not use for current reporting.</t>
  </si>
  <si>
    <t xml:space="preserve">SELECT SUM(forecasted_revenue__k_____july_2022) FROM DEAL WHERE forecasted_revenue__k_____july_2022 IS NOT NULL</t>
  </si>
  <si>
    <t xml:space="preserve">forecasted_revenue__k_____july_2022_calculation</t>
  </si>
  <si>
    <t xml:space="preserve">CALCULATION - Forecasted Revenue (k$) - July 2022</t>
  </si>
  <si>
    <t xml:space="preserve">[LEGACY 2021-2023] CALCULATION - Forecasted Revenue (k$) - July 2022 — do not use for current reporting.</t>
  </si>
  <si>
    <t xml:space="preserve">SELECT SUM(forecasted_revenue__k_____july_2022_calculation) FROM DEAL WHERE forecasted_revenue__k_____july_2022_calculation IS NOT NULL</t>
  </si>
  <si>
    <t xml:space="preserve">forecasted_revenue__k_____june_2021</t>
  </si>
  <si>
    <t xml:space="preserve">Forecasted Revenue (k$) - June 2021</t>
  </si>
  <si>
    <t xml:space="preserve">[LEGACY 2021-2023] Forecasted Revenue (k$) - June 2021 — do not use for current reporting.</t>
  </si>
  <si>
    <t xml:space="preserve">SELECT SUM(forecasted_revenue__k_____june_2021) FROM DEAL WHERE forecasted_revenue__k_____june_2021 IS NOT NULL</t>
  </si>
  <si>
    <t xml:space="preserve">forecasted_revenue__k_____june_2021_calculation</t>
  </si>
  <si>
    <t xml:space="preserve">CALCULATION - Forecasted Revenue (k$) - June 2021</t>
  </si>
  <si>
    <t xml:space="preserve">[LEGACY 2021-2023] CALCULATION - Forecasted Revenue (k$) - June 2021 — do not use for current reporting.</t>
  </si>
  <si>
    <t xml:space="preserve">SELECT SUM(forecasted_revenue__k_____june_2021_calculation) FROM DEAL WHERE forecasted_revenue__k_____june_2021_calculation IS NOT NULL</t>
  </si>
  <si>
    <t xml:space="preserve">forecasted_revenue__k_____june_2022</t>
  </si>
  <si>
    <t xml:space="preserve">Forecasted Revenue (k$) - June 2022</t>
  </si>
  <si>
    <t xml:space="preserve">[LEGACY 2021-2023] Forecasted Revenue (k$) - June 2022 — do not use for current reporting.</t>
  </si>
  <si>
    <t xml:space="preserve">SELECT SUM(forecasted_revenue__k_____june_2022) FROM DEAL WHERE forecasted_revenue__k_____june_2022 IS NOT NULL</t>
  </si>
  <si>
    <t xml:space="preserve">forecasted_revenue__k_____june_2022_calculation</t>
  </si>
  <si>
    <t xml:space="preserve">CALCULATION - Forecasted Revenue (k$) - June 2022</t>
  </si>
  <si>
    <t xml:space="preserve">[LEGACY 2021-2023] CALCULATION - Forecasted Revenue (k$) - June 2022 — do not use for current reporting.</t>
  </si>
  <si>
    <t xml:space="preserve">SELECT SUM(forecasted_revenue__k_____june_2022_calculation) FROM DEAL WHERE forecasted_revenue__k_____june_2022_calculation IS NOT NULL</t>
  </si>
  <si>
    <t xml:space="preserve">forecasted_revenue__k_____march_2022</t>
  </si>
  <si>
    <t xml:space="preserve">Forecasted Revenue (k$) - March 2022</t>
  </si>
  <si>
    <t xml:space="preserve">[LEGACY 2021-2023] Forecasted Revenue (k$) - March 2022 — do not use for current reporting.</t>
  </si>
  <si>
    <t xml:space="preserve">SELECT SUM(forecasted_revenue__k_____march_2022) FROM DEAL WHERE forecasted_revenue__k_____march_2022 IS NOT NULL</t>
  </si>
  <si>
    <t xml:space="preserve">forecasted_revenue__k_____march_2022_calculation</t>
  </si>
  <si>
    <t xml:space="preserve">CALCULATION - Forecasted Revenue (k$) - March 2022</t>
  </si>
  <si>
    <t xml:space="preserve">[LEGACY 2021-2023] CALCULATION - Forecasted Revenue (k$) - March 2022 — do not use for current reporting.</t>
  </si>
  <si>
    <t xml:space="preserve">SELECT SUM(forecasted_revenue__k_____march_2022_calculation) FROM DEAL WHERE forecasted_revenue__k_____march_2022_calculation IS NOT NULL</t>
  </si>
  <si>
    <t xml:space="preserve">forecasted_revenue__k_____march_2023</t>
  </si>
  <si>
    <t xml:space="preserve">Forecasted Revenue (k$) - March 2023</t>
  </si>
  <si>
    <t xml:space="preserve">[LEGACY 2021-2023] Forecasted Revenue (k$) - March 2023 — do not use for current reporting.</t>
  </si>
  <si>
    <t xml:space="preserve">SELECT SUM(forecasted_revenue__k_____march_2023) FROM DEAL WHERE forecasted_revenue__k_____march_2023 IS NOT NULL</t>
  </si>
  <si>
    <t xml:space="preserve">forecasted_revenue__k_____march_2023_calculation</t>
  </si>
  <si>
    <t xml:space="preserve">CALCULATION - Forecasted Revenue (k$) - March 2023</t>
  </si>
  <si>
    <t xml:space="preserve">[LEGACY 2021-2023] CALCULATION - Forecasted Revenue (k$) - March 2023 — do not use for current reporting.</t>
  </si>
  <si>
    <t xml:space="preserve">SELECT SUM(forecasted_revenue__k_____march_2023_calculation) FROM DEAL WHERE forecasted_revenue__k_____march_2023_calculation IS NOT NULL</t>
  </si>
  <si>
    <t xml:space="preserve">forecasted_revenue__k_____may_2021</t>
  </si>
  <si>
    <t xml:space="preserve">Forecasted Revenue (k$) - May 2021</t>
  </si>
  <si>
    <t xml:space="preserve">[LEGACY 2021-2023] Forecasted Revenue (k$) - May 2021 — do not use for current reporting.</t>
  </si>
  <si>
    <t xml:space="preserve">SELECT SUM(forecasted_revenue__k_____may_2021) FROM DEAL WHERE forecasted_revenue__k_____may_2021 IS NOT NULL</t>
  </si>
  <si>
    <t xml:space="preserve">forecasted_revenue__k_____may_2022</t>
  </si>
  <si>
    <t xml:space="preserve">Forecasted Revenue (k$) - May 2022</t>
  </si>
  <si>
    <t xml:space="preserve">[LEGACY 2021-2023] Forecasted Revenue (k$) - May 2022 — do not use for current reporting.</t>
  </si>
  <si>
    <t xml:space="preserve">SELECT SUM(forecasted_revenue__k_____may_2022) FROM DEAL WHERE forecasted_revenue__k_____may_2022 IS NOT NULL</t>
  </si>
  <si>
    <t xml:space="preserve">forecasted_revenue__k_____may_2022_calculation</t>
  </si>
  <si>
    <t xml:space="preserve">CALCULATION - Forecasted Revenue (k$) - May 2022</t>
  </si>
  <si>
    <t xml:space="preserve">[LEGACY 2021-2023] CALCULATION - Forecasted Revenue (k$) - May 2022 — do not use for current reporting.</t>
  </si>
  <si>
    <t xml:space="preserve">SELECT SUM(forecasted_revenue__k_____may_2022_calculation) FROM DEAL WHERE forecasted_revenue__k_____may_2022_calculation IS NOT NULL</t>
  </si>
  <si>
    <t xml:space="preserve">forecasted_revenue__k_____november_2021</t>
  </si>
  <si>
    <t xml:space="preserve">Forecasted Revenue (k$) - November 2021</t>
  </si>
  <si>
    <t xml:space="preserve">[LEGACY 2021-2023] Forecasted Revenue (k$) - November 2021 — do not use for current reporting.</t>
  </si>
  <si>
    <t xml:space="preserve">SELECT SUM(forecasted_revenue__k_____november_2021) FROM DEAL WHERE forecasted_revenue__k_____november_2021 IS NOT NULL</t>
  </si>
  <si>
    <t xml:space="preserve">forecasted_revenue__k_____november_2021_calculation</t>
  </si>
  <si>
    <t xml:space="preserve">CALCULATION - Forecasted Revenue (k$) - November 2021</t>
  </si>
  <si>
    <t xml:space="preserve">[LEGACY 2021-2023] CALCULATION - Forecasted Revenue (k$) - November 2021 — do not use for current reporting.</t>
  </si>
  <si>
    <t xml:space="preserve">SELECT SUM(forecasted_revenue__k_____november_2021_calculation) FROM DEAL WHERE forecasted_revenue__k_____november_2021_calculation IS NOT NULL</t>
  </si>
  <si>
    <t xml:space="preserve">forecasted_revenue__k_____november_2022</t>
  </si>
  <si>
    <t xml:space="preserve">Forecasted Revenue (k$) - November 2022</t>
  </si>
  <si>
    <t xml:space="preserve">[LEGACY 2021-2023] Forecasted Revenue (k$) - November 2022 — do not use for current reporting.</t>
  </si>
  <si>
    <t xml:space="preserve">SELECT SUM(forecasted_revenue__k_____november_2022) FROM DEAL WHERE forecasted_revenue__k_____november_2022 IS NOT NULL</t>
  </si>
  <si>
    <t xml:space="preserve">forecasted_revenue__k_____november_2022_calculation</t>
  </si>
  <si>
    <t xml:space="preserve">CALCULATION - Forecasted Revenue (k$) - November 2022</t>
  </si>
  <si>
    <t xml:space="preserve">[LEGACY 2021-2023] CALCULATION - Forecasted Revenue (k$) - November 2022 — do not use for current reporting.</t>
  </si>
  <si>
    <t xml:space="preserve">SELECT SUM(forecasted_revenue__k_____november_2022_calculation) FROM DEAL WHERE forecasted_revenue__k_____november_2022_calculation IS NOT NULL</t>
  </si>
  <si>
    <t xml:space="preserve">forecasted_revenue__k_____october_2021</t>
  </si>
  <si>
    <t xml:space="preserve">Forecasted Revenue (k$) - October 2021</t>
  </si>
  <si>
    <t xml:space="preserve">[LEGACY 2021-2023] Forecasted Revenue (k$) - October 2021 — do not use for current reporting.</t>
  </si>
  <si>
    <t xml:space="preserve">SELECT SUM(forecasted_revenue__k_____october_2021) FROM DEAL WHERE forecasted_revenue__k_____october_2021 IS NOT NULL</t>
  </si>
  <si>
    <t xml:space="preserve">forecasted_revenue__k_____october_2021_calculation</t>
  </si>
  <si>
    <t xml:space="preserve">CALCULATION - Forecasted Revenue (k$) - October 2021</t>
  </si>
  <si>
    <t xml:space="preserve">[LEGACY 2021-2023] CALCULATION - Forecasted Revenue (k$) - October 2021 — do not use for current reporting.</t>
  </si>
  <si>
    <t xml:space="preserve">SELECT SUM(forecasted_revenue__k_____october_2021_calculation) FROM DEAL WHERE forecasted_revenue__k_____october_2021_calculation IS NOT NULL</t>
  </si>
  <si>
    <t xml:space="preserve">forecasted_revenue__k_____october_2022</t>
  </si>
  <si>
    <t xml:space="preserve">Forecasted Revenue (k$) - October 2022</t>
  </si>
  <si>
    <t xml:space="preserve">[LEGACY 2021-2023] Forecasted Revenue (k$) - October 2022 — do not use for current reporting.</t>
  </si>
  <si>
    <t xml:space="preserve">SELECT SUM(forecasted_revenue__k_____october_2022) FROM DEAL WHERE forecasted_revenue__k_____october_2022 IS NOT NULL</t>
  </si>
  <si>
    <t xml:space="preserve">forecasted_revenue__k_____october_2022_calculation</t>
  </si>
  <si>
    <t xml:space="preserve">CALCULATION - Forecasted Revenue (k$) - October 2022</t>
  </si>
  <si>
    <t xml:space="preserve">[LEGACY 2021-2023] CALCULATION - Forecasted Revenue (k$) - October 2022 — do not use for current reporting.</t>
  </si>
  <si>
    <t xml:space="preserve">SELECT SUM(forecasted_revenue__k_____october_2022_calculation) FROM DEAL WHERE forecasted_revenue__k_____october_2022_calculation IS NOT NULL</t>
  </si>
  <si>
    <t xml:space="preserve">forecasted_revenue__k_____q1_2022</t>
  </si>
  <si>
    <t xml:space="preserve">Forecasted Revenue (k$) - Q1 2022</t>
  </si>
  <si>
    <t xml:space="preserve">[LEGACY 2021-2023] Forecasted Revenue (k$) - Q1 2022 — do not use for current reporting.</t>
  </si>
  <si>
    <t xml:space="preserve">SELECT SUM(forecasted_revenue__k_____q1_2022) FROM DEAL WHERE forecasted_revenue__k_____q1_2022 IS NOT NULL</t>
  </si>
  <si>
    <t xml:space="preserve">forecasted_revenue__k_____q1_2022_calculation</t>
  </si>
  <si>
    <t xml:space="preserve">CALCULATION - Forecasted Revenue (k$) - Q1 2022</t>
  </si>
  <si>
    <t xml:space="preserve">[LEGACY 2021-2023] CALCULATION - Forecasted Revenue (k$) - Q1 2022 — do not use for current reporting.</t>
  </si>
  <si>
    <t xml:space="preserve">SELECT SUM(forecasted_revenue__k_____q1_2022_calculation) FROM DEAL WHERE forecasted_revenue__k_____q1_2022_calculation IS NOT NULL</t>
  </si>
  <si>
    <t xml:space="preserve">forecasted_revenue__k_____q1_2023</t>
  </si>
  <si>
    <t xml:space="preserve">Forecasted Revenue (k$) - Q1 2023</t>
  </si>
  <si>
    <t xml:space="preserve">[LEGACY 2021-2023] Forecasted Revenue (k$) - Q1 2023 — do not use for current reporting.</t>
  </si>
  <si>
    <t xml:space="preserve">SELECT SUM(forecasted_revenue__k_____q1_2023) FROM DEAL WHERE forecasted_revenue__k_____q1_2023 IS NOT NULL</t>
  </si>
  <si>
    <t xml:space="preserve">forecasted_revenue__k_____q1_2023_calculation</t>
  </si>
  <si>
    <t xml:space="preserve">CALCULATION - Forecasted Revenue (k$) - Q1 2023</t>
  </si>
  <si>
    <t xml:space="preserve">[LEGACY 2021-2023] CALCULATION - Forecasted Revenue (k$) - Q1 2023 — do not use for current reporting.</t>
  </si>
  <si>
    <t xml:space="preserve">SELECT SUM(forecasted_revenue__k_____q1_2023_calculation) FROM DEAL WHERE forecasted_revenue__k_____q1_2023_calculation IS NOT NULL</t>
  </si>
  <si>
    <t xml:space="preserve">forecasted_revenue__k_____q2_2021</t>
  </si>
  <si>
    <t xml:space="preserve">Forecasted Revenue (k$) - Q2 2021</t>
  </si>
  <si>
    <t xml:space="preserve">[LEGACY 2021-2023] Forecasted Revenue (k$) - Q2 2021 — do not use for current reporting.</t>
  </si>
  <si>
    <t xml:space="preserve">SELECT SUM(forecasted_revenue__k_____q2_2021) FROM DEAL WHERE forecasted_revenue__k_____q2_2021 IS NOT NULL</t>
  </si>
  <si>
    <t xml:space="preserve">forecasted_revenue__k_____q2_2021_calculation</t>
  </si>
  <si>
    <t xml:space="preserve">CALCULATION - Forecasted Revenue (k$) - Q2 2021</t>
  </si>
  <si>
    <t xml:space="preserve">[LEGACY 2021-2023] CALCULATION - Forecasted Revenue (k$) - Q2 2021 — do not use for current reporting.</t>
  </si>
  <si>
    <t xml:space="preserve">SELECT SUM(forecasted_revenue__k_____q2_2021_calculation) FROM DEAL WHERE forecasted_revenue__k_____q2_2021_calculation IS NOT NULL</t>
  </si>
  <si>
    <t xml:space="preserve">forecasted_revenue__k_____q2_2022</t>
  </si>
  <si>
    <t xml:space="preserve">Forecasted Revenue (k$) - Q2 2022</t>
  </si>
  <si>
    <t xml:space="preserve">[LEGACY 2021-2023] Forecasted Revenue (k$) - Q2 2022 — do not use for current reporting.</t>
  </si>
  <si>
    <t xml:space="preserve">SELECT SUM(forecasted_revenue__k_____q2_2022) FROM DEAL WHERE forecasted_revenue__k_____q2_2022 IS NOT NULL</t>
  </si>
  <si>
    <t xml:space="preserve">forecasted_revenue__k_____q2_2022_calculation</t>
  </si>
  <si>
    <t xml:space="preserve">CALCULATION - Forecasted Revenue (k$) - Q2 2022</t>
  </si>
  <si>
    <t xml:space="preserve">[LEGACY 2021-2023] CALCULATION - Forecasted Revenue (k$) - Q2 2022 — do not use for current reporting.</t>
  </si>
  <si>
    <t xml:space="preserve">SELECT SUM(forecasted_revenue__k_____q2_2022_calculation) FROM DEAL WHERE forecasted_revenue__k_____q2_2022_calculation IS NOT NULL</t>
  </si>
  <si>
    <t xml:space="preserve">forecasted_revenue__k_____q3_2021</t>
  </si>
  <si>
    <t xml:space="preserve">Forecasted Revenue (k$) - Q3 2021</t>
  </si>
  <si>
    <t xml:space="preserve">[LEGACY 2021-2023] Forecasted Revenue (k$) - Q3 2021 — do not use for current reporting.</t>
  </si>
  <si>
    <t xml:space="preserve">SELECT SUM(forecasted_revenue__k_____q3_2021) FROM DEAL WHERE forecasted_revenue__k_____q3_2021 IS NOT NULL</t>
  </si>
  <si>
    <t xml:space="preserve">forecasted_revenue__k_____q3_2021_calculation</t>
  </si>
  <si>
    <t xml:space="preserve">CALCULATION - Forecasted Revenue (k$) - Q3 2021</t>
  </si>
  <si>
    <t xml:space="preserve">[LEGACY 2021-2023] CALCULATION - Forecasted Revenue (k$) - Q3 2021 — do not use for current reporting.</t>
  </si>
  <si>
    <t xml:space="preserve">SELECT SUM(forecasted_revenue__k_____q3_2021_calculation) FROM DEAL WHERE forecasted_revenue__k_____q3_2021_calculation IS NOT NULL</t>
  </si>
  <si>
    <t xml:space="preserve">forecasted_revenue__k_____q3_2022</t>
  </si>
  <si>
    <t xml:space="preserve">Forecasted Revenue (k$) - Q3 2022</t>
  </si>
  <si>
    <t xml:space="preserve">[LEGACY 2021-2023] Forecasted Revenue (k$) - Q3 2022 — do not use for current reporting.</t>
  </si>
  <si>
    <t xml:space="preserve">SELECT SUM(forecasted_revenue__k_____q3_2022) FROM DEAL WHERE forecasted_revenue__k_____q3_2022 IS NOT NULL</t>
  </si>
  <si>
    <t xml:space="preserve">forecasted_revenue__k_____q3_2022_calculation</t>
  </si>
  <si>
    <t xml:space="preserve">CALCULATION - Forecasted Revenue (k$) - Q3 2022</t>
  </si>
  <si>
    <t xml:space="preserve">[LEGACY 2021-2023] CALCULATION - Forecasted Revenue (k$) - Q3 2022 — do not use for current reporting.</t>
  </si>
  <si>
    <t xml:space="preserve">SELECT SUM(forecasted_revenue__k_____q3_2022_calculation) FROM DEAL WHERE forecasted_revenue__k_____q3_2022_calculation IS NOT NULL</t>
  </si>
  <si>
    <t xml:space="preserve">forecasted_revenue__k_____q4_2021</t>
  </si>
  <si>
    <t xml:space="preserve">Forecasted Revenue (k$) - Q4 2021</t>
  </si>
  <si>
    <t xml:space="preserve">[LEGACY 2021-2023] Forecasted Revenue (k$) - Q4 2021 — do not use for current reporting.</t>
  </si>
  <si>
    <t xml:space="preserve">SELECT SUM(forecasted_revenue__k_____q4_2021) FROM DEAL WHERE forecasted_revenue__k_____q4_2021 IS NOT NULL</t>
  </si>
  <si>
    <t xml:space="preserve">forecasted_revenue__k_____q4_2021_calculation</t>
  </si>
  <si>
    <t xml:space="preserve">CALCULATION - Forecasted Revenue (k$) - Q4 2021</t>
  </si>
  <si>
    <t xml:space="preserve">[LEGACY 2021-2023] CALCULATION - Forecasted Revenue (k$) - Q4 2021 — do not use for current reporting.</t>
  </si>
  <si>
    <t xml:space="preserve">SELECT SUM(forecasted_revenue__k_____q4_2021_calculation) FROM DEAL WHERE forecasted_revenue__k_____q4_2021_calculation IS NOT NULL</t>
  </si>
  <si>
    <t xml:space="preserve">forecasted_revenue__k_____q4_2022</t>
  </si>
  <si>
    <t xml:space="preserve">Forecasted Revenue (k$) - Q4 2022</t>
  </si>
  <si>
    <t xml:space="preserve">[LEGACY 2021-2023] Forecasted Revenue (k$) - Q4 2022 — do not use for current reporting.</t>
  </si>
  <si>
    <t xml:space="preserve">SELECT SUM(forecasted_revenue__k_____q4_2022) FROM DEAL WHERE forecasted_revenue__k_____q4_2022 IS NOT NULL</t>
  </si>
  <si>
    <t xml:space="preserve">forecasted_revenue__k_____q4_2022_calculation</t>
  </si>
  <si>
    <t xml:space="preserve">CALCULATION - Forecasted Revenue (k$) - Q4 2022</t>
  </si>
  <si>
    <t xml:space="preserve">[LEGACY 2021-2023] CALCULATION - Forecasted Revenue (k$) - Q4 2022 — do not use for current reporting.</t>
  </si>
  <si>
    <t xml:space="preserve">SELECT SUM(forecasted_revenue__k_____q4_2022_calculation) FROM DEAL WHERE forecasted_revenue__k_____q4_2022_calculation IS NOT NULL</t>
  </si>
  <si>
    <t xml:space="preserve">forecasted_revenue__k_____september_2021</t>
  </si>
  <si>
    <t xml:space="preserve">Forecasted Revenue (k$) - September 2021</t>
  </si>
  <si>
    <t xml:space="preserve">[LEGACY 2021-2023] Forecasted Revenue (k$) - September 2021 — do not use for current reporting.</t>
  </si>
  <si>
    <t xml:space="preserve">SELECT SUM(forecasted_revenue__k_____september_2021) FROM DEAL WHERE forecasted_revenue__k_____september_2021 IS NOT NULL</t>
  </si>
  <si>
    <t xml:space="preserve">forecasted_revenue__k_____september_2021_calculation</t>
  </si>
  <si>
    <t xml:space="preserve">CALCULATION - Forecasted Revenue (k$) - September 2021</t>
  </si>
  <si>
    <t xml:space="preserve">[LEGACY 2021-2023] CALCULATION - Forecasted Revenue (k$) - September 2021 — do not use for current reporting.</t>
  </si>
  <si>
    <t xml:space="preserve">SELECT SUM(forecasted_revenue__k_____september_2021_calculation) FROM DEAL WHERE forecasted_revenue__k_____september_2021_calculation IS NOT NULL</t>
  </si>
  <si>
    <t xml:space="preserve">forecasted_revenue__k_____september_2022</t>
  </si>
  <si>
    <t xml:space="preserve">Forecasted Revenue (k$) - September 2022</t>
  </si>
  <si>
    <t xml:space="preserve">[LEGACY 2021-2023] Forecasted Revenue (k$) - September 2022 — do not use for current reporting.</t>
  </si>
  <si>
    <t xml:space="preserve">SELECT SUM(forecasted_revenue__k_____september_2022) FROM DEAL WHERE forecasted_revenue__k_____september_2022 IS NOT NULL</t>
  </si>
  <si>
    <t xml:space="preserve">forecasted_revenue__k_____september_2022_calculation</t>
  </si>
  <si>
    <t xml:space="preserve">CALCULATION - Forecasted Revenue (k$) - September 2022</t>
  </si>
  <si>
    <t xml:space="preserve">[LEGACY 2021-2023] CALCULATION - Forecasted Revenue (k$) - September 2022 — do not use for current reporting.</t>
  </si>
  <si>
    <t xml:space="preserve">SELECT SUM(forecasted_revenue__k_____september_2022_calculation) FROM DEAL WHERE forecasted_revenue__k_____september_2022_calculation IS NOT NULL</t>
  </si>
  <si>
    <t xml:space="preserve">volume_april_2021</t>
  </si>
  <si>
    <t xml:space="preserve">Volume April 2021</t>
  </si>
  <si>
    <t xml:space="preserve">[LEGACY 2021-2023] Volume April 2021 — do not use for current reporting.</t>
  </si>
  <si>
    <t xml:space="preserve">SELECT SUM(volume_april_2021) FROM DEAL WHERE volume_april_2021 IS NOT NULL</t>
  </si>
  <si>
    <t xml:space="preserve">volume_april_2022</t>
  </si>
  <si>
    <t xml:space="preserve">Volume April 2022</t>
  </si>
  <si>
    <t xml:space="preserve">[LEGACY 2021-2023] Volume April 2022 — do not use for current reporting.</t>
  </si>
  <si>
    <t xml:space="preserve">SELECT SUM(volume_april_2022) FROM DEAL WHERE volume_april_2022 IS NOT NULL</t>
  </si>
  <si>
    <t xml:space="preserve">volume_august_2021</t>
  </si>
  <si>
    <t xml:space="preserve">Volume August 2021</t>
  </si>
  <si>
    <t xml:space="preserve">[LEGACY 2021-2023] Volume August 2021 — do not use for current reporting.</t>
  </si>
  <si>
    <t xml:space="preserve">SELECT SUM(volume_august_2021) FROM DEAL WHERE volume_august_2021 IS NOT NULL</t>
  </si>
  <si>
    <t xml:space="preserve">volume_august_2022</t>
  </si>
  <si>
    <t xml:space="preserve">Volume August 2022</t>
  </si>
  <si>
    <t xml:space="preserve">[LEGACY 2021-2023] Volume August 2022 — do not use for current reporting.</t>
  </si>
  <si>
    <t xml:space="preserve">SELECT SUM(volume_august_2022) FROM DEAL WHERE volume_august_2022 IS NOT NULL</t>
  </si>
  <si>
    <t xml:space="preserve">volume_december_2021</t>
  </si>
  <si>
    <t xml:space="preserve">Volume December 2021</t>
  </si>
  <si>
    <t xml:space="preserve">[LEGACY 2021-2023] Volume December 2021 — do not use for current reporting.</t>
  </si>
  <si>
    <t xml:space="preserve">SELECT SUM(volume_december_2021) FROM DEAL WHERE volume_december_2021 IS NOT NULL</t>
  </si>
  <si>
    <t xml:space="preserve">volume_december_2022</t>
  </si>
  <si>
    <t xml:space="preserve">Volume December 2022</t>
  </si>
  <si>
    <t xml:space="preserve">[LEGACY 2021-2023] Volume December 2022 — do not use for current reporting.</t>
  </si>
  <si>
    <t xml:space="preserve">SELECT SUM(volume_december_2022) FROM DEAL WHERE volume_december_2022 IS NOT NULL</t>
  </si>
  <si>
    <t xml:space="preserve">volume_february_2022</t>
  </si>
  <si>
    <t xml:space="preserve">Volume February 2022</t>
  </si>
  <si>
    <t xml:space="preserve">[LEGACY 2021-2023] Volume February 2022 — do not use for current reporting.</t>
  </si>
  <si>
    <t xml:space="preserve">SELECT SUM(volume_february_2022) FROM DEAL WHERE volume_february_2022 IS NOT NULL</t>
  </si>
  <si>
    <t xml:space="preserve">volume_february_2023</t>
  </si>
  <si>
    <t xml:space="preserve">Volume February 2023</t>
  </si>
  <si>
    <t xml:space="preserve">[LEGACY 2021-2023] Volume February 2023 — do not use for current reporting.</t>
  </si>
  <si>
    <t xml:space="preserve">SELECT SUM(volume_february_2023) FROM DEAL WHERE volume_february_2023 IS NOT NULL</t>
  </si>
  <si>
    <t xml:space="preserve">volume_january_2022</t>
  </si>
  <si>
    <t xml:space="preserve">Volume January 2022</t>
  </si>
  <si>
    <t xml:space="preserve">[LEGACY 2021-2023] Volume January 2022 — do not use for current reporting.</t>
  </si>
  <si>
    <t xml:space="preserve">SELECT SUM(volume_january_2022) FROM DEAL WHERE volume_january_2022 IS NOT NULL</t>
  </si>
  <si>
    <t xml:space="preserve">volume_january_2023</t>
  </si>
  <si>
    <t xml:space="preserve">Volume January 2023</t>
  </si>
  <si>
    <t xml:space="preserve">[LEGACY 2021-2023] Volume January 2023 — do not use for current reporting.</t>
  </si>
  <si>
    <t xml:space="preserve">SELECT SUM(volume_january_2023) FROM DEAL WHERE volume_january_2023 IS NOT NULL</t>
  </si>
  <si>
    <t xml:space="preserve">volume_july_2021</t>
  </si>
  <si>
    <t xml:space="preserve">Volume July 2021</t>
  </si>
  <si>
    <t xml:space="preserve">[LEGACY 2021-2023] Volume July 2021 — do not use for current reporting.</t>
  </si>
  <si>
    <t xml:space="preserve">SELECT SUM(volume_july_2021) FROM DEAL WHERE volume_july_2021 IS NOT NULL</t>
  </si>
  <si>
    <t xml:space="preserve">volume_july_2022</t>
  </si>
  <si>
    <t xml:space="preserve">Volume July 2022</t>
  </si>
  <si>
    <t xml:space="preserve">[LEGACY 2021-2023] Volume July 2022 — do not use for current reporting.</t>
  </si>
  <si>
    <t xml:space="preserve">SELECT SUM(volume_july_2022) FROM DEAL WHERE volume_july_2022 IS NOT NULL</t>
  </si>
  <si>
    <t xml:space="preserve">volume_june_2021</t>
  </si>
  <si>
    <t xml:space="preserve">Volume June 2021</t>
  </si>
  <si>
    <t xml:space="preserve">[LEGACY 2021-2023] Volume June 2021 — do not use for current reporting.</t>
  </si>
  <si>
    <t xml:space="preserve">SELECT SUM(volume_june_2021) FROM DEAL WHERE volume_june_2021 IS NOT NULL</t>
  </si>
  <si>
    <t xml:space="preserve">volume_june_2022</t>
  </si>
  <si>
    <t xml:space="preserve">Volume June 2022</t>
  </si>
  <si>
    <t xml:space="preserve">[LEGACY 2021-2023] Volume June 2022 — do not use for current reporting.</t>
  </si>
  <si>
    <t xml:space="preserve">SELECT SUM(volume_june_2022) FROM DEAL WHERE volume_june_2022 IS NOT NULL</t>
  </si>
  <si>
    <t xml:space="preserve">volume_march_2022</t>
  </si>
  <si>
    <t xml:space="preserve">Volume March 2022</t>
  </si>
  <si>
    <t xml:space="preserve">[LEGACY 2021-2023] Volume March 2022 — do not use for current reporting.</t>
  </si>
  <si>
    <t xml:space="preserve">SELECT SUM(volume_march_2022) FROM DEAL WHERE volume_march_2022 IS NOT NULL</t>
  </si>
  <si>
    <t xml:space="preserve">volume_march_2023</t>
  </si>
  <si>
    <t xml:space="preserve">Volume March 2023</t>
  </si>
  <si>
    <t xml:space="preserve">[LEGACY 2021-2023] Volume March 2023 — do not use for current reporting.</t>
  </si>
  <si>
    <t xml:space="preserve">SELECT SUM(volume_march_2023) FROM DEAL WHERE volume_march_2023 IS NOT NULL</t>
  </si>
  <si>
    <t xml:space="preserve">volume_may_2021</t>
  </si>
  <si>
    <t xml:space="preserve">Volume May 2021</t>
  </si>
  <si>
    <t xml:space="preserve">[LEGACY 2021-2023] Volume May 2021 — do not use for current reporting.</t>
  </si>
  <si>
    <t xml:space="preserve">SELECT SUM(volume_may_2021) FROM DEAL WHERE volume_may_2021 IS NOT NULL</t>
  </si>
  <si>
    <t xml:space="preserve">volume_may_2022</t>
  </si>
  <si>
    <t xml:space="preserve">Volume May 2022</t>
  </si>
  <si>
    <t xml:space="preserve">[LEGACY 2021-2023] Volume May 2022 — do not use for current reporting.</t>
  </si>
  <si>
    <t xml:space="preserve">SELECT SUM(volume_may_2022) FROM DEAL WHERE volume_may_2022 IS NOT NULL</t>
  </si>
  <si>
    <t xml:space="preserve">volume_november_2021</t>
  </si>
  <si>
    <t xml:space="preserve">Volume November 2021</t>
  </si>
  <si>
    <t xml:space="preserve">[LEGACY 2021-2023] Volume November 2021 — do not use for current reporting.</t>
  </si>
  <si>
    <t xml:space="preserve">SELECT SUM(volume_november_2021) FROM DEAL WHERE volume_november_2021 IS NOT NULL</t>
  </si>
  <si>
    <t xml:space="preserve">volume_november_2022</t>
  </si>
  <si>
    <t xml:space="preserve">Volume November 2022</t>
  </si>
  <si>
    <t xml:space="preserve">[LEGACY 2021-2023] Volume November 2022 — do not use for current reporting.</t>
  </si>
  <si>
    <t xml:space="preserve">SELECT SUM(volume_november_2022) FROM DEAL WHERE volume_november_2022 IS NOT NULL</t>
  </si>
  <si>
    <t xml:space="preserve">volume_october_2021</t>
  </si>
  <si>
    <t xml:space="preserve">Volume October 2021</t>
  </si>
  <si>
    <t xml:space="preserve">[LEGACY 2021-2023] Volume October 2021 — do not use for current reporting.</t>
  </si>
  <si>
    <t xml:space="preserve">SELECT SUM(volume_october_2021) FROM DEAL WHERE volume_october_2021 IS NOT NULL</t>
  </si>
  <si>
    <t xml:space="preserve">volume_october_2022</t>
  </si>
  <si>
    <t xml:space="preserve">Volume October 2022</t>
  </si>
  <si>
    <t xml:space="preserve">[LEGACY 2021-2023] Volume October 2022 — do not use for current reporting.</t>
  </si>
  <si>
    <t xml:space="preserve">SELECT SUM(volume_october_2022) FROM DEAL WHERE volume_october_2022 IS NOT NULL</t>
  </si>
  <si>
    <t xml:space="preserve">volume_q1_2022</t>
  </si>
  <si>
    <t xml:space="preserve">Volume Q1 2022</t>
  </si>
  <si>
    <t xml:space="preserve">[LEGACY 2021-2023] Volume Q1 2022 — do not use for current reporting.</t>
  </si>
  <si>
    <t xml:space="preserve">SELECT SUM(volume_q1_2022) FROM DEAL WHERE volume_q1_2022 IS NOT NULL</t>
  </si>
  <si>
    <t xml:space="preserve">volume_q1_2022_calculation</t>
  </si>
  <si>
    <t xml:space="preserve">CALCULATION - Volume Q1 2022</t>
  </si>
  <si>
    <t xml:space="preserve">[LEGACY 2021-2023] CALCULATION - Volume Q1 2022 — do not use for current reporting.</t>
  </si>
  <si>
    <t xml:space="preserve">SELECT SUM(volume_q1_2022_calculation) FROM DEAL WHERE volume_q1_2022_calculation IS NOT NULL</t>
  </si>
  <si>
    <t xml:space="preserve">volume_q1_2023__cloned_</t>
  </si>
  <si>
    <t xml:space="preserve">Volume Q1 2023</t>
  </si>
  <si>
    <t xml:space="preserve">[LEGACY 2021-2023] Volume Q1 2023 — do not use for current reporting.</t>
  </si>
  <si>
    <t xml:space="preserve">SELECT SUM(volume_q1_2023__cloned_) FROM DEAL WHERE volume_q1_2023__cloned_ IS NOT NULL</t>
  </si>
  <si>
    <t xml:space="preserve">volume_q1_2023_calculation</t>
  </si>
  <si>
    <t xml:space="preserve">CALCULATION - Volume Q1 2023</t>
  </si>
  <si>
    <t xml:space="preserve">[LEGACY 2021-2023] CALCULATION - Volume Q1 2023 — do not use for current reporting.</t>
  </si>
  <si>
    <t xml:space="preserve">SELECT SUM(volume_q1_2023_calculation) FROM DEAL WHERE volume_q1_2023_calculation IS NOT NULL</t>
  </si>
  <si>
    <t xml:space="preserve">volume_q2_2021</t>
  </si>
  <si>
    <t xml:space="preserve">Volume Q2 2021</t>
  </si>
  <si>
    <t xml:space="preserve">[LEGACY 2021-2023] Volume Q2 2021 — do not use for current reporting.</t>
  </si>
  <si>
    <t xml:space="preserve">SELECT SUM(volume_q2_2021) FROM DEAL WHERE volume_q2_2021 IS NOT NULL</t>
  </si>
  <si>
    <t xml:space="preserve">volume_q2_2021_calculation</t>
  </si>
  <si>
    <t xml:space="preserve">CALCULATION - Volume Q2 2021</t>
  </si>
  <si>
    <t xml:space="preserve">[LEGACY 2021-2023] CALCULATION - Volume Q2 2021 — do not use for current reporting.</t>
  </si>
  <si>
    <t xml:space="preserve">SELECT SUM(volume_q2_2021_calculation) FROM DEAL WHERE volume_q2_2021_calculation IS NOT NULL</t>
  </si>
  <si>
    <t xml:space="preserve">volume_q2_2022</t>
  </si>
  <si>
    <t xml:space="preserve">Volume Q2 2022</t>
  </si>
  <si>
    <t xml:space="preserve">[LEGACY 2021-2023] Volume Q2 2022 — do not use for current reporting.</t>
  </si>
  <si>
    <t xml:space="preserve">SELECT SUM(volume_q2_2022) FROM DEAL WHERE volume_q2_2022 IS NOT NULL</t>
  </si>
  <si>
    <t xml:space="preserve">volume_q2_2022_calculation</t>
  </si>
  <si>
    <t xml:space="preserve">CALCULATION - Volume Q2 2022</t>
  </si>
  <si>
    <t xml:space="preserve">[LEGACY 2021-2023] CALCULATION - Volume Q2 2022 — do not use for current reporting.</t>
  </si>
  <si>
    <t xml:space="preserve">SELECT SUM(volume_q2_2022_calculation) FROM DEAL WHERE volume_q2_2022_calculation IS NOT NULL</t>
  </si>
  <si>
    <t xml:space="preserve">volume_q3_2021</t>
  </si>
  <si>
    <t xml:space="preserve">Volume Q3 2021</t>
  </si>
  <si>
    <t xml:space="preserve">[LEGACY 2021-2023] Volume Q3 2021 — do not use for current reporting.</t>
  </si>
  <si>
    <t xml:space="preserve">SELECT SUM(volume_q3_2021) FROM DEAL WHERE volume_q3_2021 IS NOT NULL</t>
  </si>
  <si>
    <t xml:space="preserve">volume_q3_2021_calculation</t>
  </si>
  <si>
    <t xml:space="preserve">CALCULATION - Volume Q3 2021</t>
  </si>
  <si>
    <t xml:space="preserve">[LEGACY 2021-2023] CALCULATION - Volume Q3 2021 — do not use for current reporting.</t>
  </si>
  <si>
    <t xml:space="preserve">SELECT SUM(volume_q3_2021_calculation) FROM DEAL WHERE volume_q3_2021_calculation IS NOT NULL</t>
  </si>
  <si>
    <t xml:space="preserve">volume_q3_2022</t>
  </si>
  <si>
    <t xml:space="preserve">Volume Q3 2022</t>
  </si>
  <si>
    <t xml:space="preserve">[LEGACY 2021-2023] Volume Q3 2022 — do not use for current reporting.</t>
  </si>
  <si>
    <t xml:space="preserve">SELECT SUM(volume_q3_2022) FROM DEAL WHERE volume_q3_2022 IS NOT NULL</t>
  </si>
  <si>
    <t xml:space="preserve">volume_q3_2022_calculation</t>
  </si>
  <si>
    <t xml:space="preserve">CALCULATION - Volume Q3 2022</t>
  </si>
  <si>
    <t xml:space="preserve">[LEGACY 2021-2023] CALCULATION - Volume Q3 2022 — do not use for current reporting.</t>
  </si>
  <si>
    <t xml:space="preserve">SELECT SUM(volume_q3_2022_calculation) FROM DEAL WHERE volume_q3_2022_calculation IS NOT NULL</t>
  </si>
  <si>
    <t xml:space="preserve">volume_q4_2021</t>
  </si>
  <si>
    <t xml:space="preserve">Volume Q4 2021</t>
  </si>
  <si>
    <t xml:space="preserve">[LEGACY 2021-2023] Volume Q4 2021 — do not use for current reporting.</t>
  </si>
  <si>
    <t xml:space="preserve">SELECT SUM(volume_q4_2021) FROM DEAL WHERE volume_q4_2021 IS NOT NULL</t>
  </si>
  <si>
    <t xml:space="preserve">volume_q4_2021_calculation</t>
  </si>
  <si>
    <t xml:space="preserve">CALCULATION - Volume Q4 2021</t>
  </si>
  <si>
    <t xml:space="preserve">[LEGACY 2021-2023] CALCULATION - Volume Q4 2021 — do not use for current reporting.</t>
  </si>
  <si>
    <t xml:space="preserve">SELECT SUM(volume_q4_2021_calculation) FROM DEAL WHERE volume_q4_2021_calculation IS NOT NULL</t>
  </si>
  <si>
    <t xml:space="preserve">volume_q4_2022</t>
  </si>
  <si>
    <t xml:space="preserve">Volume Q4 2022</t>
  </si>
  <si>
    <t xml:space="preserve">[LEGACY 2021-2023] Volume Q4 2022 — do not use for current reporting.</t>
  </si>
  <si>
    <t xml:space="preserve">SELECT SUM(volume_q4_2022) FROM DEAL WHERE volume_q4_2022 IS NOT NULL</t>
  </si>
  <si>
    <t xml:space="preserve">volume_q4_2022_calculation</t>
  </si>
  <si>
    <t xml:space="preserve">CALCULATION - Volume Q4 2022</t>
  </si>
  <si>
    <t xml:space="preserve">[LEGACY 2021-2023] CALCULATION - Volume Q4 2022 — do not use for current reporting.</t>
  </si>
  <si>
    <t xml:space="preserve">SELECT SUM(volume_q4_2022_calculation) FROM DEAL WHERE volume_q4_2022_calculation IS NOT NULL</t>
  </si>
  <si>
    <t xml:space="preserve">volume_september_2021</t>
  </si>
  <si>
    <t xml:space="preserve">Volume September 2021</t>
  </si>
  <si>
    <t xml:space="preserve">[LEGACY 2021-2023] Volume September 2021 — do not use for current reporting.</t>
  </si>
  <si>
    <t xml:space="preserve">SELECT SUM(volume_september_2021) FROM DEAL WHERE volume_september_2021 IS NOT NULL</t>
  </si>
  <si>
    <t xml:space="preserve">volume_september_2022</t>
  </si>
  <si>
    <t xml:space="preserve">Volume September 2022</t>
  </si>
  <si>
    <t xml:space="preserve">[LEGACY 2021-2023] Volume September 2022 — do not use for current reporting.</t>
  </si>
  <si>
    <t xml:space="preserve">SELECT SUM(volume_september_2022) FROM DEAL WHERE volume_september_2022 IS NOT NULL</t>
  </si>
  <si>
    <t xml:space="preserve">amount</t>
  </si>
  <si>
    <t xml:space="preserve">Amount</t>
  </si>
  <si>
    <t xml:space="preserve">Money &amp; forecast</t>
  </si>
  <si>
    <t xml:space="preserve">The total amount of the deal</t>
  </si>
  <si>
    <t xml:space="preserve">amount, value, size, worth (display only — never SUM across currencies)</t>
  </si>
  <si>
    <t xml:space="preserve">Show the top 10 deals by amount (with currency).</t>
  </si>
  <si>
    <t xml:space="preserve">SELECT dealname, amount, deal_currency_code FROM DEAL ORDER BY amount DESC LIMIT 10</t>
  </si>
  <si>
    <t xml:space="preserve">Amount in company currency</t>
  </si>
  <si>
    <t xml:space="preserve">The amount of the deal, using the exchange rate, in your company's currency</t>
  </si>
  <si>
    <t xml:space="preserve">revenue, pipeline value, total value, sum of amount, $, k$, bookings</t>
  </si>
  <si>
    <t xml:space="preserve">What is the total open pipeline value?</t>
  </si>
  <si>
    <t xml:space="preserve">asp_in_usd_q2_2021_calculation</t>
  </si>
  <si>
    <t xml:space="preserve">DiffAmount</t>
  </si>
  <si>
    <t xml:space="preserve">USE (recycled — label is truth)</t>
  </si>
  <si>
    <t xml:space="preserve">RECYCLED: label 'DiffAmount' has nothing to do with internal name</t>
  </si>
  <si>
    <t xml:space="preserve">diffamount</t>
  </si>
  <si>
    <t xml:space="preserve">What is the total / average DiffAmount?</t>
  </si>
  <si>
    <t xml:space="preserve">SELECT SUM(asp_in_usd_q2_2021_calculation), AVG(asp_in_usd_q2_2021_calculation) FROM DEAL WHERE asp_in_usd_q2_2021_calculation IS NOT NULL</t>
  </si>
  <si>
    <t xml:space="preserve">asp_in_usd_q2_2022_calculation</t>
  </si>
  <si>
    <t xml:space="preserve">ARR ($K/Y)</t>
  </si>
  <si>
    <t xml:space="preserve">RECYCLED: label 'ARR ($K/Y)' has nothing to do with internal name</t>
  </si>
  <si>
    <t xml:space="preserve">arr, annual recurring, $k/y</t>
  </si>
  <si>
    <t xml:space="preserve">What is the ARR across open deals? (label 'ARR ($K/Y)' — recycled field)</t>
  </si>
  <si>
    <t xml:space="preserve">SELECT SUM(asp_in_usd_q2_2022_calculation) FROM DEAL WHERE hs_is_closed = false</t>
  </si>
  <si>
    <t xml:space="preserve">deal_currency_code</t>
  </si>
  <si>
    <t xml:space="preserve">Currency</t>
  </si>
  <si>
    <t xml:space="preserve">Currency code for the deal.</t>
  </si>
  <si>
    <t xml:space="preserve">USD | EUR</t>
  </si>
  <si>
    <t xml:space="preserve">currency, eur, usd</t>
  </si>
  <si>
    <t xml:space="preserve">How many deals are in EUR vs USD?</t>
  </si>
  <si>
    <t xml:space="preserve">SELECT deal_currency_code, COUNT(*) FROM DEAL GROUP BY deal_currency_code</t>
  </si>
  <si>
    <t xml:space="preserve">forecast_source</t>
  </si>
  <si>
    <t xml:space="preserve">Forecast Source</t>
  </si>
  <si>
    <t xml:space="preserve">Salesman estimate | Customer Conversation | Customer Forecast | Salesman update=Sales Update/ PO/contractual delivery plan</t>
  </si>
  <si>
    <t xml:space="preserve">forecast source, customer forecast, salesman estimate</t>
  </si>
  <si>
    <t xml:space="preserve">Which forecasts are based on a customer forecast rather than a salesman estimate?</t>
  </si>
  <si>
    <t xml:space="preserve">SELECT forecast_source, COUNT(*) FROM DEAL WHERE hs_is_closed = false GROUP BY forecast_source</t>
  </si>
  <si>
    <t xml:space="preserve">forecasted_revenue__k_____december_2021_calculation</t>
  </si>
  <si>
    <t xml:space="preserve">Deal time to live</t>
  </si>
  <si>
    <t xml:space="preserve">RECYCLED: label 'Deal time to live' has nothing to do with internal name</t>
  </si>
  <si>
    <t xml:space="preserve">deal time to live</t>
  </si>
  <si>
    <t xml:space="preserve">Deals where Deal time to live falls in 2026?</t>
  </si>
  <si>
    <t xml:space="preserve">SELECT dealname, forecasted_revenue__k_____december_2021_calculation FROM DEAL WHERE forecasted_revenue__k_____december_2021_calculation BETWEEN '2026-01-01' AND '2026-12-31'</t>
  </si>
  <si>
    <t xml:space="preserve">forecasted_revenue__k_____may_2021_calculation</t>
  </si>
  <si>
    <t xml:space="preserve">Upside (k$)</t>
  </si>
  <si>
    <t xml:space="preserve">RECYCLED: label 'Upside (k$)' has nothing to do with internal name</t>
  </si>
  <si>
    <t xml:space="preserve">upside (k$)</t>
  </si>
  <si>
    <t xml:space="preserve">What is the total / average Upside (k$)?</t>
  </si>
  <si>
    <t xml:space="preserve">SELECT SUM(forecasted_revenue__k_____may_2021_calculation), AVG(forecasted_revenue__k_____may_2021_calculation) FROM DEAL WHERE forecasted_revenue__k_____may_2021_calculation IS NOT NULL</t>
  </si>
  <si>
    <t xml:space="preserve">hs_acv</t>
  </si>
  <si>
    <t xml:space="preserve">Annual contract value</t>
  </si>
  <si>
    <t xml:space="preserve">The annual contract value (ACV) of this deal.</t>
  </si>
  <si>
    <t xml:space="preserve">annual contract value</t>
  </si>
  <si>
    <t xml:space="preserve">What is the total / average Annual contract value?</t>
  </si>
  <si>
    <t xml:space="preserve">SELECT SUM(hs_acv), AVG(hs_acv) FROM DEAL WHERE hs_acv IS NOT NULL</t>
  </si>
  <si>
    <t xml:space="preserve">hs_arr</t>
  </si>
  <si>
    <t xml:space="preserve">Annual recurring revenue</t>
  </si>
  <si>
    <t xml:space="preserve">The annual recurring revenue (ARR) of this deal.</t>
  </si>
  <si>
    <t xml:space="preserve">arr (hubspot native)</t>
  </si>
  <si>
    <t xml:space="preserve">Sum of HubSpot-native ARR on won deals.</t>
  </si>
  <si>
    <t xml:space="preserve">SELECT SUM(hs_arr) FROM DEAL WHERE hs_is_closed_won = true</t>
  </si>
  <si>
    <t xml:space="preserve">hs_deal_score</t>
  </si>
  <si>
    <t xml:space="preserve">Deal Score</t>
  </si>
  <si>
    <t xml:space="preserve">Predictive deal score (HubSpot AI)</t>
  </si>
  <si>
    <t xml:space="preserve">deal score</t>
  </si>
  <si>
    <t xml:space="preserve">What is the total / average Deal Score?</t>
  </si>
  <si>
    <t xml:space="preserve">SELECT SUM(hs_deal_score), AVG(hs_deal_score) FROM DEAL WHERE hs_deal_score IS NOT NULL</t>
  </si>
  <si>
    <t xml:space="preserve">hs_deal_stage_probability</t>
  </si>
  <si>
    <t xml:space="preserve">Deal probability</t>
  </si>
  <si>
    <t xml:space="preserve">Defaults to the deal-stage probability setting.</t>
  </si>
  <si>
    <t xml:space="preserve">probability, likelihood, chance</t>
  </si>
  <si>
    <t xml:space="preserve">Which open deals have a probability above 50%?</t>
  </si>
  <si>
    <t xml:space="preserve">SELECT dealname, hs_deal_stage_probability FROM DEAL WHERE hs_is_closed = false AND hs_deal_stage_probability &gt; 0.5</t>
  </si>
  <si>
    <t xml:space="preserve">hs_exchange_rate</t>
  </si>
  <si>
    <t xml:space="preserve">Exchange rate</t>
  </si>
  <si>
    <t xml:space="preserve">exchange rate</t>
  </si>
  <si>
    <t xml:space="preserve">Deals where Exchange rate contains a keyword?</t>
  </si>
  <si>
    <t xml:space="preserve">SELECT dealname, hs_exchange_rate FROM DEAL WHERE hs_exchange_rate LIKE '%keyword%'</t>
  </si>
  <si>
    <t xml:space="preserve">hs_forecast_amount</t>
  </si>
  <si>
    <t xml:space="preserve">Forecast amount</t>
  </si>
  <si>
    <t xml:space="preserve">forecast probability x deal amount in company currency</t>
  </si>
  <si>
    <t xml:space="preserve">forecast amount</t>
  </si>
  <si>
    <t xml:space="preserve">What is the total / average Forecast amount?</t>
  </si>
  <si>
    <t xml:space="preserve">SELECT SUM(hs_forecast_amount), AVG(hs_forecast_amount) FROM DEAL WHERE hs_forecast_amount IS NOT NULL</t>
  </si>
  <si>
    <t xml:space="preserve">hs_forecast_probability</t>
  </si>
  <si>
    <t xml:space="preserve">Forecast probability</t>
  </si>
  <si>
    <t xml:space="preserve">Custom percent probability a deal will close.</t>
  </si>
  <si>
    <t xml:space="preserve">forecast probability</t>
  </si>
  <si>
    <t xml:space="preserve">What is the total / average Forecast probability?</t>
  </si>
  <si>
    <t xml:space="preserve">SELECT SUM(hs_forecast_probability), AVG(hs_forecast_probability) FROM DEAL WHERE hs_forecast_probability IS NOT NULL</t>
  </si>
  <si>
    <t xml:space="preserve">Forecast category</t>
  </si>
  <si>
    <t xml:space="preserve">Manual forecasting category.</t>
  </si>
  <si>
    <t xml:space="preserve">OMIT=Not forecasted | COMMIT=Commit | CLOSED=Closed won</t>
  </si>
  <si>
    <t xml:space="preserve">commit, forecast category, not forecasted, omit</t>
  </si>
  <si>
    <t xml:space="preserve">What is committed this quarter?</t>
  </si>
  <si>
    <t xml:space="preserve">SELECT SUM(amount_in_home_currency) FROM DEAL WHERE hs_manual_forecast_category = 'COMMIT' AND closedate BETWEEN '2026-07-01' AND '2026-09-30'</t>
  </si>
  <si>
    <t xml:space="preserve">hs_mrr</t>
  </si>
  <si>
    <t xml:space="preserve">Monthly recurring revenue</t>
  </si>
  <si>
    <t xml:space="preserve">monthly recurring revenue</t>
  </si>
  <si>
    <t xml:space="preserve">What is the total / average Monthly recurring revenue?</t>
  </si>
  <si>
    <t xml:space="preserve">SELECT SUM(hs_mrr), AVG(hs_mrr) FROM DEAL WHERE hs_mrr IS NOT NULL</t>
  </si>
  <si>
    <t xml:space="preserve">hs_projected_amount</t>
  </si>
  <si>
    <t xml:space="preserve">Weighted amount</t>
  </si>
  <si>
    <t xml:space="preserve">amount x probability of closing.</t>
  </si>
  <si>
    <t xml:space="preserve">weighted amount</t>
  </si>
  <si>
    <t xml:space="preserve">What is the total / average Weighted amount?</t>
  </si>
  <si>
    <t xml:space="preserve">SELECT SUM(hs_projected_amount), AVG(hs_projected_amount) FROM DEAL WHERE hs_projected_amount IS NOT NULL</t>
  </si>
  <si>
    <t xml:space="preserve">Weighted amount in company currency</t>
  </si>
  <si>
    <t xml:space="preserve">amount in home currency x stage probability.</t>
  </si>
  <si>
    <t xml:space="preserve">weighted, probability-adjusted, expected value, projected</t>
  </si>
  <si>
    <t xml:space="preserve">What is the weighted (probability-adjusted) pipeline?</t>
  </si>
  <si>
    <t xml:space="preserve">hs_tcv</t>
  </si>
  <si>
    <t xml:space="preserve">Total contract value</t>
  </si>
  <si>
    <t xml:space="preserve">total contract value</t>
  </si>
  <si>
    <t xml:space="preserve">What is the total / average Total contract value?</t>
  </si>
  <si>
    <t xml:space="preserve">SELECT SUM(hs_tcv), AVG(hs_tcv) FROM DEAL WHERE hs_tcv IS NOT NULL</t>
  </si>
  <si>
    <t xml:space="preserve">hs_weighted_pipeline_in_company_currency</t>
  </si>
  <si>
    <t xml:space="preserve">Weighted open pipeline in company currency</t>
  </si>
  <si>
    <t xml:space="preserve">weighted open pipeline in company currency</t>
  </si>
  <si>
    <t xml:space="preserve">Deals where Weighted open pipeline in company currency contains a keyword?</t>
  </si>
  <si>
    <t xml:space="preserve">SELECT dealname, hs_weighted_pipeline_in_company_currency FROM DEAL WHERE hs_weighted_pipeline_in_company_currency LIKE '%keyword%'</t>
  </si>
  <si>
    <t xml:space="preserve">invoice_currency</t>
  </si>
  <si>
    <t xml:space="preserve">Invoice currency</t>
  </si>
  <si>
    <t xml:space="preserve">EUR | USD</t>
  </si>
  <si>
    <t xml:space="preserve">invoice currency</t>
  </si>
  <si>
    <t xml:space="preserve">Break down deals by Invoice currency.</t>
  </si>
  <si>
    <t xml:space="preserve">SELECT invoice_currency, COUNT(*) FROM DEAL GROUP BY invoice_currency</t>
  </si>
  <si>
    <t xml:space="preserve">previous_deal_amount</t>
  </si>
  <si>
    <t xml:space="preserve">previous deal amount</t>
  </si>
  <si>
    <t xml:space="preserve">What is the total / average previous deal amount?</t>
  </si>
  <si>
    <t xml:space="preserve">SELECT SUM(previous_deal_amount), AVG(previous_deal_amount) FROM DEAL WHERE previous_deal_amount IS NOT NULL</t>
  </si>
  <si>
    <t xml:space="preserve">revenue_direction</t>
  </si>
  <si>
    <t xml:space="preserve">Revenue Direction</t>
  </si>
  <si>
    <t xml:space="preserve">revenue direction</t>
  </si>
  <si>
    <t xml:space="preserve">Deals where Revenue Direction contains a keyword?</t>
  </si>
  <si>
    <t xml:space="preserve">SELECT dealname, revenue_direction FROM DEAL WHERE revenue_direction LIKE '%keyword%'</t>
  </si>
  <si>
    <t xml:space="preserve">INFO - Revenue State</t>
  </si>
  <si>
    <t xml:space="preserve">Pipeline | Forecast | BIBA</t>
  </si>
  <si>
    <t xml:space="preserve">revenue state, biba, forecast, pipeline (state)</t>
  </si>
  <si>
    <t xml:space="preserve">How much is in BIBA vs Forecast vs Pipeline?</t>
  </si>
  <si>
    <t xml:space="preserve">tempforecast__k_y_</t>
  </si>
  <si>
    <t xml:space="preserve">TempForecast($K/Y)</t>
  </si>
  <si>
    <t xml:space="preserve">tempforecast($k/y)</t>
  </si>
  <si>
    <t xml:space="preserve">What is the total / average TempForecast($K/Y)?</t>
  </si>
  <si>
    <t xml:space="preserve">SELECT SUM(tempforecast__k_y_), AVG(tempforecast__k_y_) FROM DEAL WHERE tempforecast__k_y_ IS NOT NULL</t>
  </si>
  <si>
    <t xml:space="preserve">tpm__k_y</t>
  </si>
  <si>
    <t xml:space="preserve">TPM Forecast ($K/Y)</t>
  </si>
  <si>
    <t xml:space="preserve">tpm forecast, $k/y, run-rate</t>
  </si>
  <si>
    <t xml:space="preserve">What is the total TPM forecast in $K per year?</t>
  </si>
  <si>
    <t xml:space="preserve">SELECT SUM(tpm__k_y) FROM DEAL WHERE hs_is_closed = false</t>
  </si>
  <si>
    <t xml:space="preserve">weighted_amount</t>
  </si>
  <si>
    <t xml:space="preserve">IcAlps_WeightedAmount</t>
  </si>
  <si>
    <t xml:space="preserve">icalps_weightedamount</t>
  </si>
  <si>
    <t xml:space="preserve">What is the total / average IcAlps_WeightedAmount?</t>
  </si>
  <si>
    <t xml:space="preserve">SELECT SUM(weighted_amount), AVG(weighted_amount) FROM DEAL WHERE weighted_amount IS NOT NULL</t>
  </si>
  <si>
    <t xml:space="preserve">weighted_amount__k__</t>
  </si>
  <si>
    <t xml:space="preserve">Weighted Amount (k$)</t>
  </si>
  <si>
    <t xml:space="preserve">weighted amount (k$)</t>
  </si>
  <si>
    <t xml:space="preserve">What is the total / average Weighted Amount (k$)?</t>
  </si>
  <si>
    <t xml:space="preserve">SELECT SUM(weighted_amount__k__), AVG(weighted_amount__k__) FROM DEAL WHERE weighted_amount__k__ IS NOT NULL</t>
  </si>
  <si>
    <t xml:space="preserve">weighted_amount_calculated</t>
  </si>
  <si>
    <t xml:space="preserve">weighted amount calculated</t>
  </si>
  <si>
    <t xml:space="preserve">Calculated amount with weight</t>
  </si>
  <si>
    <t xml:space="preserve">What is the total / average weighted amount calculated?</t>
  </si>
  <si>
    <t xml:space="preserve">SELECT SUM(weighted_amount_calculated), AVG(weighted_amount_calculated) FROM DEAL WHERE weighted_amount_calculated IS NOT NULL</t>
  </si>
  <si>
    <t xml:space="preserve">weighted_amount_corrected</t>
  </si>
  <si>
    <t xml:space="preserve">Weighted amount Corrected</t>
  </si>
  <si>
    <t xml:space="preserve">Correction Of weighting</t>
  </si>
  <si>
    <t xml:space="preserve">weighted amount corrected</t>
  </si>
  <si>
    <t xml:space="preserve">What is the total / average Weighted amount Corrected?</t>
  </si>
  <si>
    <t xml:space="preserve">SELECT SUM(weighted_amount_corrected), AVG(weighted_amount_corrected) FROM DEAL WHERE weighted_amount_corrected IS NOT NULL</t>
  </si>
  <si>
    <t xml:space="preserve">win_probability</t>
  </si>
  <si>
    <t xml:space="preserve">Win Probability</t>
  </si>
  <si>
    <t xml:space="preserve">win probability (custom)</t>
  </si>
  <si>
    <t xml:space="preserve">Deals with a win probability set above 70?</t>
  </si>
  <si>
    <t xml:space="preserve">SELECT dealname, win_probability FROM DEAL WHERE win_probability &gt; 70</t>
  </si>
  <si>
    <t xml:space="preserve">additional_owner</t>
  </si>
  <si>
    <t xml:space="preserve">Additional Owner</t>
  </si>
  <si>
    <t xml:space="preserve">Ownership &amp; team</t>
  </si>
  <si>
    <t xml:space="preserve">SYSTEM</t>
  </si>
  <si>
    <t xml:space="preserve">additional owner</t>
  </si>
  <si>
    <t xml:space="preserve">Deals where Additional Owner contains a keyword?</t>
  </si>
  <si>
    <t xml:space="preserve">SELECT dealname, additional_owner FROM DEAL WHERE additional_owner LIKE '%keyword%'</t>
  </si>
  <si>
    <t xml:space="preserve">hs_all_collaborator_owner_ids</t>
  </si>
  <si>
    <t xml:space="preserve">Deal Collaborator</t>
  </si>
  <si>
    <t xml:space="preserve">Owner ids of the users involved in closing the deal</t>
  </si>
  <si>
    <t xml:space="preserve">29462792=Thierry VILLARD | 62919224=Marc Sanchez | 62919259=gweltas radenac | 63386667=Michael Rosenstein | 64863027=Loi Hoang | 64863028=Lee Vu | 66906000=Kevin Holmes | 70108363=Ruben Burdin | 76175881=Christopher Schwarm | 78819009=Alexander Moreira | 79353440=Loïc Hamon | 80219899=Charles Walton | 82045380=Sheng-Kai CHEN | 82939931=Vanessa LEGAY | 84834752=Dannia Roman | 85917018=Richard Venia | 86947944=Rolf Gobet | 87605300=Carlos Ballester Lafuente | 88741005=Christophe Gaillard | 88741191=Jean-Luc TRIOULEYRE | 88795766=Steve Clark | 89283664=Katsunori Miyahata | 91468608=Nagendra SATHYANARAYANA | 92081232=Carlos Moreno | 92090369=Max DE GROOT | 92518776=Anna Venekas | 92989799=lsistac@mantu.com | 93058175=Justyna Grabarczyk | 93252694=Breno Lima | 93702497=Mélanie Jalliffier-Talmat | 95100948=Koichi MORIOKA | 95922386=pfuentes@wisekey.com | 96319970=Jenna Emch | 97351604=Alexander Hirsch | 97423250=Thomas Dreano | 98790758=Franck Buonanno | 98791059=Angela Williams | 106420117=SEALSQ - | 115790186=Nathalie Verjus | 157028373=Will Pan | 208893079=Fabien Treillaud | 250770466=Antonin THUIA | 295869563=Thomas Jiang | 328317052=Raphael Bernard | 354221939=Hue Luong | 372974154=Véronique FAORO | 975855252=Eric Schneider</t>
  </si>
  <si>
    <t xml:space="preserve">deal collaborator</t>
  </si>
  <si>
    <t xml:space="preserve">Break down deals by Deal Collaborator.</t>
  </si>
  <si>
    <t xml:space="preserve">SELECT hs_all_collaborator_owner_ids, COUNT(*) FROM DEAL GROUP BY hs_all_collaborator_owner_ids</t>
  </si>
  <si>
    <t xml:space="preserve">hs_all_deal_split_owner_ids</t>
  </si>
  <si>
    <t xml:space="preserve">Deal Split Users</t>
  </si>
  <si>
    <t xml:space="preserve">The owner ids of all associated Deal Splits.</t>
  </si>
  <si>
    <t xml:space="preserve">deal split users</t>
  </si>
  <si>
    <t xml:space="preserve">Deals where Deal Split Users contains a keyword?</t>
  </si>
  <si>
    <t xml:space="preserve">SELECT dealname, hs_all_deal_split_owner_ids FROM DEAL WHERE hs_all_deal_split_owner_ids LIKE '%keyword%'</t>
  </si>
  <si>
    <t xml:space="preserve">hs_created_by_user_id</t>
  </si>
  <si>
    <t xml:space="preserve">Created by user ID</t>
  </si>
  <si>
    <t xml:space="preserve">created by user id</t>
  </si>
  <si>
    <t xml:space="preserve">Deals where Created by user ID contains a keyword?</t>
  </si>
  <si>
    <t xml:space="preserve">SELECT dealname, hs_created_by_user_id FROM DEAL WHERE hs_created_by_user_id LIKE '%keyword%'</t>
  </si>
  <si>
    <t xml:space="preserve">hs_is_deal_split</t>
  </si>
  <si>
    <t xml:space="preserve">Deal Split Added</t>
  </si>
  <si>
    <t xml:space="preserve">deal split added</t>
  </si>
  <si>
    <t xml:space="preserve">Deals where Deal Split Added contains a keyword?</t>
  </si>
  <si>
    <t xml:space="preserve">SELECT dealname, hs_is_deal_split FROM DEAL WHERE hs_is_deal_split LIKE '%keyword%'</t>
  </si>
  <si>
    <t xml:space="preserve">hs_shared_team_ids</t>
  </si>
  <si>
    <t xml:space="preserve">Shared teams</t>
  </si>
  <si>
    <t xml:space="preserve">shared teams</t>
  </si>
  <si>
    <t xml:space="preserve">Deals where Shared teams contains a keyword?</t>
  </si>
  <si>
    <t xml:space="preserve">SELECT dealname, hs_shared_team_ids FROM DEAL WHERE hs_shared_team_ids LIKE '%keyword%'</t>
  </si>
  <si>
    <t xml:space="preserve">hs_shared_user_ids</t>
  </si>
  <si>
    <t xml:space="preserve">Shared users</t>
  </si>
  <si>
    <t xml:space="preserve">shared users</t>
  </si>
  <si>
    <t xml:space="preserve">Deals where Shared users contains a keyword?</t>
  </si>
  <si>
    <t xml:space="preserve">SELECT dealname, hs_shared_user_ids FROM DEAL WHERE hs_shared_user_ids LIKE '%keyword%'</t>
  </si>
  <si>
    <t xml:space="preserve">hs_synced_deal_owner_name_and_email</t>
  </si>
  <si>
    <t xml:space="preserve">HubSpot Sales Lead</t>
  </si>
  <si>
    <t xml:space="preserve">hubspot sales lead</t>
  </si>
  <si>
    <t xml:space="preserve">Deals where HubSpot Sales Lead contains a keyword?</t>
  </si>
  <si>
    <t xml:space="preserve">SELECT dealname, hs_synced_deal_owner_name_and_email FROM DEAL WHERE hs_synced_deal_owner_name_and_email LIKE '%keyword%'</t>
  </si>
  <si>
    <t xml:space="preserve">hs_updated_by_user_id</t>
  </si>
  <si>
    <t xml:space="preserve">Updated by user ID</t>
  </si>
  <si>
    <t xml:space="preserve">updated by user id</t>
  </si>
  <si>
    <t xml:space="preserve">Deals where Updated by user ID falls in 2026?</t>
  </si>
  <si>
    <t xml:space="preserve">SELECT dealname, hs_updated_by_user_id FROM DEAL WHERE hs_updated_by_user_id BETWEEN '2026-01-01' AND '2026-12-31'</t>
  </si>
  <si>
    <t xml:space="preserve">hs_user_ids_of_all_notification_recipients</t>
  </si>
  <si>
    <t xml:space="preserve">All deal notification recipients</t>
  </si>
  <si>
    <t xml:space="preserve">all deal notification recipients</t>
  </si>
  <si>
    <t xml:space="preserve">Deals where All deal notification recipients contains a keyword?</t>
  </si>
  <si>
    <t xml:space="preserve">SELECT dealname, hs_user_ids_of_all_notification_recipients FROM DEAL WHERE hs_user_ids_of_all_notification_recipients LIKE '%keyword%'</t>
  </si>
  <si>
    <t xml:space="preserve">Deal owner</t>
  </si>
  <si>
    <t xml:space="preserve">User the deal is assigned to.</t>
  </si>
  <si>
    <t xml:space="preserve">owner, rep, salesperson, my deals, who owns</t>
  </si>
  <si>
    <t xml:space="preserve">How many open deals does Thierry Villard own?</t>
  </si>
  <si>
    <t xml:space="preserve">SELECT COUNT(*) FROM DEAL WHERE hubspot_owner_id = '29462792' AND hs_is_closed = false</t>
  </si>
  <si>
    <t xml:space="preserve">HubSpot Team</t>
  </si>
  <si>
    <t xml:space="preserve">Primary team of the deal owner.</t>
  </si>
  <si>
    <t xml:space="preserve">2409488=Marketing | 2669078=IT | 2676541=Sales Operations | 3605328=Sales EMEA | 4245972=Supply Chain | 4331717=Product Management | 4331722=Technical Sales (FAEs) | 5533707=Sales NORAM | 5533710=Sales APAC | 12954354=ARESSY | 63735818=IC'ALPS | 63735821=SQ SALES | 63736694=ST OPS | 64779445=Full Sales | 70040171=Sales Taiwan | 78924886=SEALSQ</t>
  </si>
  <si>
    <t xml:space="preserve">team, sales emea, sales noram, sales apac, sales taiwan</t>
  </si>
  <si>
    <t xml:space="preserve">Open pipeline by sales team?</t>
  </si>
  <si>
    <t xml:space="preserve">team</t>
  </si>
  <si>
    <t xml:space="preserve">Team</t>
  </si>
  <si>
    <t xml:space="preserve">Deals where Team contains a keyword?</t>
  </si>
  <si>
    <t xml:space="preserve">SELECT dealname, team FROM DEAL WHERE team LIKE '%keyword%'</t>
  </si>
  <si>
    <t xml:space="preserve">associatedstage</t>
  </si>
  <si>
    <t xml:space="preserve">Pipeline, stage &amp; status</t>
  </si>
  <si>
    <t xml:space="preserve">Deals where associatedstage contains a keyword?</t>
  </si>
  <si>
    <t xml:space="preserve">SELECT dealname, associatedstage FROM DEAL WHERE associatedstage LIKE '%keyword%'</t>
  </si>
  <si>
    <t xml:space="preserve">Days to close</t>
  </si>
  <si>
    <t xml:space="preserve">The number of days the deal took to close</t>
  </si>
  <si>
    <t xml:space="preserve">days to close, sales cycle, velocity</t>
  </si>
  <si>
    <t xml:space="preserve">Average days to close for won deals by pipeline?</t>
  </si>
  <si>
    <t xml:space="preserve">SELECT pipeline, AVG(days_to_close) FROM DEAL WHERE hs_is_closed_won = true GROUP BY pipeline</t>
  </si>
  <si>
    <t xml:space="preserve">deal_status</t>
  </si>
  <si>
    <t xml:space="preserve">Deal status</t>
  </si>
  <si>
    <t xml:space="preserve">deal status</t>
  </si>
  <si>
    <t xml:space="preserve">Deals where Deal status contains a keyword?</t>
  </si>
  <si>
    <t xml:space="preserve">SELECT dealname, deal_status FROM DEAL WHERE deal_status LIKE '%keyword%'</t>
  </si>
  <si>
    <t xml:space="preserve">dealstage</t>
  </si>
  <si>
    <t xml:space="preserve">Deal Stage</t>
  </si>
  <si>
    <t xml:space="preserve">The stage of the deal.</t>
  </si>
  <si>
    <t xml:space="preserve">12096409=Identified (SealSQ Hardware) | 12096410=Qualified (SealSQ Hardware) | 12096411=Design In (SealSQ Hardware) | 12096412=Design Win (SealSQ Hardware) | 12096869=Closed Won (SealSQ Hardware) | 12096415=Closed Lost (SealSQ Hardware) | 13772274=Closed Dead (SealSQ Hardware) | 13772280=Identified (SealSQ Services) | 13772281=Qualified (SealSQ Services) | 13772282=Design In (SealSQ Services) | 31868514=Design Win (SealSQ Services) | 13772285=Closed Won (SealSQ Services) | 13772286=Closed Lost (SealSQ Services) | 13772309=Closed Dead (SealSQ Services) | 85103752=Identified (Wisekey Services + PKI) | 85103753=Qualified (Wisekey Services + PKI) | 85103754=Design In (Wisekey Services + PKI) | 85103755=Design Win (Wisekey Services + PKI) | 85103756=Closed Won (Wisekey Services + PKI) | 85103757=Closed Dead (Wisekey Services + PKI) | 85103758=Closed lost (Wisekey Services + PKI) | 1311252059=Identified (Wise.Sat) | 1311252060=Qualified (Wise.Sat) | 1311252061=Design In (Wise.Sat) | 1311252062=Design Win (Wise.Sat) | 1311252063=Closed Won (Wise.Sat) | 1311252064=Closed Dead (Wise.Sat) | 1311252065=Closed lost (Wise.Sat) | 1031449001=Identified (SEALCOIN) | 1031449002=Qualified (SEALCOIN) | 1031449003=Design In (SEALCOIN) | 1031449004=Design Win (SEALCOIN) | 1031449005=Closed Won (SEALCOIN) | 1031449006=Closed Lost (SEALCOIN) | 1116419644=Identified (Icalps_hardware) | 1116419645=Qualified (Icalps_hardware) | 1116419646=Design In (Icalps_hardware) | 1116419647=Design Win (Icalps_hardware) | 1116419649=Closed Won (Icalps_hardware) | 1116419650=Closed Dead (Icalps_hardware) | 1116652341=On-Hold (Icalps_hardware) | 1313738265=Closed Lost (Icalps_hardware) | 1437101470=Identified (Quantum &amp; AI) | 1437101471=Qualified (Quantum &amp; AI) | 1437101472=Design In (Quantum &amp; AI) | 1437101473=Negociating (Quantum &amp; AI) | 1437101474=PO Sent (Quantum &amp; AI) | 1437101475=Closed Won (Quantum &amp; AI) | 1437101476=Closed Lost (Quantum &amp; AI)</t>
  </si>
  <si>
    <t xml:space="preserve">stage, identified, qualified, design in, design win, closed won, closed lost, closed dead, on-hold, negociating, po sent</t>
  </si>
  <si>
    <t xml:space="preserve">How many deals are in Design Win in the SealSQ Hardware pipeline?</t>
  </si>
  <si>
    <t xml:space="preserve">SELECT COUNT(*) FROM DEAL WHERE dealstage = '12096412'</t>
  </si>
  <si>
    <t xml:space="preserve">design_in_cycle_time</t>
  </si>
  <si>
    <t xml:space="preserve">Design in cycle time</t>
  </si>
  <si>
    <t xml:space="preserve">Time length between deal creation and win</t>
  </si>
  <si>
    <t xml:space="preserve">design in cycle time</t>
  </si>
  <si>
    <t xml:space="preserve">What is the total / average Design in cycle time?</t>
  </si>
  <si>
    <t xml:space="preserve">SELECT SUM(design_in_cycle_time), AVG(design_in_cycle_time) FROM DEAL WHERE design_in_cycle_time IS NOT NULL</t>
  </si>
  <si>
    <t xml:space="preserve">hs_actual_duration</t>
  </si>
  <si>
    <t xml:space="preserve">Actual duration</t>
  </si>
  <si>
    <t xml:space="preserve">Time between create date and close date.</t>
  </si>
  <si>
    <t xml:space="preserve">actual duration</t>
  </si>
  <si>
    <t xml:space="preserve">What is the total / average Actual duration?</t>
  </si>
  <si>
    <t xml:space="preserve">SELECT SUM(hs_actual_duration), AVG(hs_actual_duration) FROM DEAL WHERE hs_actual_duration IS NOT NULL</t>
  </si>
  <si>
    <t xml:space="preserve">hs_average_deal_owner_duration_in_current_stage</t>
  </si>
  <si>
    <t xml:space="preserve">Average Deal Owner Duration In Current Stage</t>
  </si>
  <si>
    <t xml:space="preserve">average deal owner duration in current stage</t>
  </si>
  <si>
    <t xml:space="preserve">What is the total / average Average Deal Owner Duration In Current Stage?</t>
  </si>
  <si>
    <t xml:space="preserve">SELECT SUM(hs_average_deal_owner_duration_in_current_stage), AVG(hs_average_deal_owner_duration_in_current_stage) FROM DEAL WHERE hs_average_deal_owner_duration_in_current_stage IS NOT NULL</t>
  </si>
  <si>
    <t xml:space="preserve">hs_closed_won_count</t>
  </si>
  <si>
    <t xml:space="preserve">Closed won count</t>
  </si>
  <si>
    <t xml:space="preserve">1 if closed won, else 0.</t>
  </si>
  <si>
    <t xml:space="preserve">closed won count</t>
  </si>
  <si>
    <t xml:space="preserve">What is the total / average Closed won count?</t>
  </si>
  <si>
    <t xml:space="preserve">SELECT SUM(hs_closed_won_count), AVG(hs_closed_won_count) FROM DEAL WHERE hs_closed_won_count IS NOT NULL</t>
  </si>
  <si>
    <t xml:space="preserve">hs_is_closed</t>
  </si>
  <si>
    <t xml:space="preserve">Is Deal Closed?</t>
  </si>
  <si>
    <t xml:space="preserve">bool</t>
  </si>
  <si>
    <t xml:space="preserve">True if the deal was won or lost.</t>
  </si>
  <si>
    <t xml:space="preserve">true | false</t>
  </si>
  <si>
    <t xml:space="preserve">open, active, in flight, not closed</t>
  </si>
  <si>
    <t xml:space="preserve">How many deals are still open?</t>
  </si>
  <si>
    <t xml:space="preserve">SELECT COUNT(*) FROM DEAL WHERE hs_is_closed = false</t>
  </si>
  <si>
    <t xml:space="preserve">hs_is_closed_count</t>
  </si>
  <si>
    <t xml:space="preserve">Is Closed (numeric)</t>
  </si>
  <si>
    <t xml:space="preserve">1 if closed won or lost, else 0</t>
  </si>
  <si>
    <t xml:space="preserve">is closed (numeric)</t>
  </si>
  <si>
    <t xml:space="preserve">Inspect Is Closed (numeric) (type not fetched — verify with get_properties before filtering).</t>
  </si>
  <si>
    <t xml:space="preserve">SELECT hs_is_closed_count, COUNT(*) FROM DEAL WHERE hs_is_closed_count IS NOT NULL GROUP BY hs_is_closed_count</t>
  </si>
  <si>
    <t xml:space="preserve">hs_is_closed_lost</t>
  </si>
  <si>
    <t xml:space="preserve">Is closed lost</t>
  </si>
  <si>
    <t xml:space="preserve">lost, closed lost, losses</t>
  </si>
  <si>
    <t xml:space="preserve">How many deals did we lose last quarter?</t>
  </si>
  <si>
    <t xml:space="preserve">SELECT COUNT(*) FROM DEAL WHERE hs_is_closed_lost = true AND closedate BETWEEN '2026-04-01' AND '2026-06-30'</t>
  </si>
  <si>
    <t xml:space="preserve">hs_is_closed_won</t>
  </si>
  <si>
    <t xml:space="preserve">Is Closed Won</t>
  </si>
  <si>
    <t xml:space="preserve">won, closed won, wins, booked</t>
  </si>
  <si>
    <t xml:space="preserve">Total won revenue this year?</t>
  </si>
  <si>
    <t xml:space="preserve">hs_is_open_count</t>
  </si>
  <si>
    <t xml:space="preserve">Is Open (numeric)</t>
  </si>
  <si>
    <t xml:space="preserve">1 if not closed, else 0</t>
  </si>
  <si>
    <t xml:space="preserve">is open (numeric)</t>
  </si>
  <si>
    <t xml:space="preserve">Inspect Is Open (numeric) (type not fetched — verify with get_properties before filtering).</t>
  </si>
  <si>
    <t xml:space="preserve">SELECT hs_is_open_count, COUNT(*) FROM DEAL WHERE hs_is_open_count IS NOT NULL GROUP BY hs_is_open_count</t>
  </si>
  <si>
    <t xml:space="preserve">hs_is_stalled</t>
  </si>
  <si>
    <t xml:space="preserve">Is Stalled</t>
  </si>
  <si>
    <t xml:space="preserve">True if time in stage is 20% longer than owner's closed-won average.</t>
  </si>
  <si>
    <t xml:space="preserve">stalled, stuck, aging</t>
  </si>
  <si>
    <t xml:space="preserve">Which open deals are stalled?</t>
  </si>
  <si>
    <t xml:space="preserve">SELECT dealname, hubspot_owner_id, hs_v2_date_entered_current_stage FROM DEAL WHERE hs_is_stalled = true AND hs_is_closed = false</t>
  </si>
  <si>
    <t xml:space="preserve">hs_is_stalled_after_timestamp</t>
  </si>
  <si>
    <t xml:space="preserve">Is Stalled After Timestamp</t>
  </si>
  <si>
    <t xml:space="preserve">is stalled after timestamp</t>
  </si>
  <si>
    <t xml:space="preserve">Deals where Is Stalled After Timestamp falls in 2026?</t>
  </si>
  <si>
    <t xml:space="preserve">SELECT dealname, hs_is_stalled_after_timestamp FROM DEAL WHERE hs_is_stalled_after_timestamp BETWEEN '2026-01-01' AND '2026-12-31'</t>
  </si>
  <si>
    <t xml:space="preserve">hs_latest_approval_status</t>
  </si>
  <si>
    <t xml:space="preserve">Latest Approval Status</t>
  </si>
  <si>
    <t xml:space="preserve">latest approval status</t>
  </si>
  <si>
    <t xml:space="preserve">Deals where Latest Approval Status contains a keyword?</t>
  </si>
  <si>
    <t xml:space="preserve">SELECT dealname, hs_latest_approval_status FROM DEAL WHERE hs_latest_approval_status LIKE '%keyword%'</t>
  </si>
  <si>
    <t xml:space="preserve">icalps_dealstatus</t>
  </si>
  <si>
    <t xml:space="preserve">IC'ALPS Status</t>
  </si>
  <si>
    <t xml:space="preserve">Status of the IC'ALPS deal for workflow automation</t>
  </si>
  <si>
    <t xml:space="preserve">Abandonnée=Abandonné | In Progress | Lost | NoGo | Won</t>
  </si>
  <si>
    <t xml:space="preserve">icalps status, abandonné, nogo</t>
  </si>
  <si>
    <t xml:space="preserve">IC'ALPS deals still in progress (legacy status)?</t>
  </si>
  <si>
    <t xml:space="preserve">SELECT COUNT(*) FROM DEAL WHERE icalps_dealstatus = 'In Progress'</t>
  </si>
  <si>
    <t xml:space="preserve">icalps_stage</t>
  </si>
  <si>
    <t xml:space="preserve">IcAlps_Stage</t>
  </si>
  <si>
    <t xml:space="preserve">01 - Identification | 02 - Qualifiée | 03 - Evaluation technique | 04 - Construction propositions | 05 - Négociations</t>
  </si>
  <si>
    <t xml:space="preserve">Break down deals by IcAlps_Stage.</t>
  </si>
  <si>
    <t xml:space="preserve">SELECT icalps_stage, COUNT(*) FROM DEAL GROUP BY icalps_stage</t>
  </si>
  <si>
    <t xml:space="preserve">number_of_design_in</t>
  </si>
  <si>
    <t xml:space="preserve">Number of Design in</t>
  </si>
  <si>
    <t xml:space="preserve">number of design in</t>
  </si>
  <si>
    <t xml:space="preserve">What is the total / average Number of Design in?</t>
  </si>
  <si>
    <t xml:space="preserve">SELECT SUM(number_of_design_in), AVG(number_of_design_in) FROM DEAL WHERE number_of_design_in IS NOT NULL</t>
  </si>
  <si>
    <t xml:space="preserve">Pipeline</t>
  </si>
  <si>
    <t xml:space="preserve">The pipeline the deal is in.</t>
  </si>
  <si>
    <t xml:space="preserve">12096408=SealSQ Hardware | 13772279=SealSQ Services | 40296576=Wisekey Services + PKI | 875072356=Wise.Sat | 705868909=SEALCOIN | 766126206=Icalps_hardware | 934982230=Quantum &amp; AI</t>
  </si>
  <si>
    <t xml:space="preserve">pipeline, business unit, sealsq hardware, sealsq services, wisekey, wise.sat, sealcoin, icalps, quantum &amp; ai</t>
  </si>
  <si>
    <t xml:space="preserve">How many open deals per pipeline (business unit)?</t>
  </si>
  <si>
    <t xml:space="preserve">SELECT pipeline, COUNT(*) FROM DEAL WHERE hs_is_closed = false GROUP BY pipeline</t>
  </si>
  <si>
    <t xml:space="preserve">previous_deal_status</t>
  </si>
  <si>
    <t xml:space="preserve">Previous deal status</t>
  </si>
  <si>
    <t xml:space="preserve">Indicate previous deal status</t>
  </si>
  <si>
    <t xml:space="preserve">N/A | Identified | Qualified | Design In | Closed Won | Closed Lost</t>
  </si>
  <si>
    <t xml:space="preserve">previous status, regression, moved back</t>
  </si>
  <si>
    <t xml:space="preserve">Deals that went back from Design In?</t>
  </si>
  <si>
    <t xml:space="preserve">SELECT dealname, previous_deal_status, dealstage FROM DEAL WHERE previous_deal_status = 'Design In'</t>
  </si>
  <si>
    <t xml:space="preserve">qualification_cycle_time</t>
  </si>
  <si>
    <t xml:space="preserve">Qualification cycle time</t>
  </si>
  <si>
    <t xml:space="preserve">qualification cycle time</t>
  </si>
  <si>
    <t xml:space="preserve">What is the total / average Qualification cycle time?</t>
  </si>
  <si>
    <t xml:space="preserve">SELECT SUM(qualification_cycle_time), AVG(qualification_cycle_time) FROM DEAL WHERE qualification_cycle_time IS NOT NULL</t>
  </si>
  <si>
    <t xml:space="preserve">application</t>
  </si>
  <si>
    <t xml:space="preserve">APPLICATION</t>
  </si>
  <si>
    <t xml:space="preserve">Product &amp; service</t>
  </si>
  <si>
    <t xml:space="preserve">SECONDARY</t>
  </si>
  <si>
    <t xml:space="preserve">application, use case, end application</t>
  </si>
  <si>
    <t xml:space="preserve">Which deals mention an automotive application?</t>
  </si>
  <si>
    <t xml:space="preserve">SELECT dealname, application FROM DEAL WHERE application LIKE '%automotive%'</t>
  </si>
  <si>
    <t xml:space="preserve">brand</t>
  </si>
  <si>
    <t xml:space="preserve">Deals where brand contains a keyword?</t>
  </si>
  <si>
    <t xml:space="preserve">SELECT dealname, brand FROM DEAL WHERE brand LIKE '%keyword%'</t>
  </si>
  <si>
    <t xml:space="preserve">feature_gap</t>
  </si>
  <si>
    <t xml:space="preserve">PROD - Feature Gap</t>
  </si>
  <si>
    <t xml:space="preserve">prod - feature gap</t>
  </si>
  <si>
    <t xml:space="preserve">Deals where PROD - Feature Gap contains a keyword?</t>
  </si>
  <si>
    <t xml:space="preserve">SELECT dealname, feature_gap FROM DEAL WHERE feature_gap LIKE '%keyword%'</t>
  </si>
  <si>
    <t xml:space="preserve">PROD - Product name(new)</t>
  </si>
  <si>
    <t xml:space="preserve">Please only use this property from now on</t>
  </si>
  <si>
    <t xml:space="preserve">INES | SEALBOX | SCR400 | SCR200 | SCR075 | VIC420 | VIC408 | QVault 409=VIC409 | VIC405 1.2.5 | VIC405 1.0.1 (LEGACY) | VIC405 1.2.1 (LEGACY) | VIC405 1.2.6 (CUSTOM - BK Tech) | VIC292 | VIC186 | VIC183 | VIC100 | VIC155 | Nanoseal | QS7001 | QVault TPM IOT | QVault TPM | MS6003 | MS6001 | 104104CV | 4040CV | SO128 | SO64 | SO36 | Quack2 (CISCO) | Quack2 HT (CISCO) | Act2L v1.3 (CISCO) | Act2L v1.5 (CISCO) | Wise.Sat | SEALCOIN | Wise.Art/NFT | PKI | PKI/GSMA | PKI/Other | Undefined=ASIC | NRE | Legacy | OCI | N/A</t>
  </si>
  <si>
    <t xml:space="preserve">qvault, tpm, iot, ines, vic, qs7001, scr, ms600x, sealbox, nanoseal, wise.sat, sealcoin, pki, nre, product, sku, part number</t>
  </si>
  <si>
    <t xml:space="preserve">How many deals are associated with QVault TPM IoT?</t>
  </si>
  <si>
    <t xml:space="preserve">Product Hierarchy</t>
  </si>
  <si>
    <t xml:space="preserve">SCR | 600x=MS600x | VIC | ASIC | Legacy | PKI | TPM | CISCO</t>
  </si>
  <si>
    <t xml:space="preserve">product family, hierarchy, scr, vic, tpm, pki, asic, cisco, ms600x, legacy</t>
  </si>
  <si>
    <t xml:space="preserve">Split the open pipeline by product family (SCR / VIC / TPM / PKI / ASIC / CISCO).</t>
  </si>
  <si>
    <t xml:space="preserve">SELECT product_hierarchy, SUM(amount_in_home_currency) FROM DEAL WHERE hs_is_closed = false GROUP BY product_hierarchy</t>
  </si>
  <si>
    <t xml:space="preserve">Product Line</t>
  </si>
  <si>
    <t xml:space="preserve">ASIC | Quantum Shield | PKI | TPM | Legacy</t>
  </si>
  <si>
    <t xml:space="preserve">product line, quantum shield, tpm, pki, asic</t>
  </si>
  <si>
    <t xml:space="preserve">How much weighted pipeline do we have in Quantum Shield vs TPM?</t>
  </si>
  <si>
    <t xml:space="preserve">product_line__opp_</t>
  </si>
  <si>
    <t xml:space="preserve">PROD - Product Line</t>
  </si>
  <si>
    <t xml:space="preserve">prod - product line</t>
  </si>
  <si>
    <t xml:space="preserve">Deals where PROD - Product Line contains a keyword?</t>
  </si>
  <si>
    <t xml:space="preserve">SELECT dealname, product_line__opp_ FROM DEAL WHERE product_line__opp_ LIKE '%keyword%'</t>
  </si>
  <si>
    <t xml:space="preserve">product_name</t>
  </si>
  <si>
    <t xml:space="preserve">PROD - Product Name(USE ONLY IF EXCEPTION)</t>
  </si>
  <si>
    <t xml:space="preserve">EXCEPTION ONLY</t>
  </si>
  <si>
    <t xml:space="preserve">prod - product name(use only if exception)</t>
  </si>
  <si>
    <t xml:space="preserve">Deals where PROD - Product Name(USE ONLY IF EXCEPTION) contains a keyword?</t>
  </si>
  <si>
    <t xml:space="preserve">SELECT dealname, product_name FROM DEAL WHERE product_name LIKE '%keyword%'</t>
  </si>
  <si>
    <t xml:space="preserve">Service Name</t>
  </si>
  <si>
    <t xml:space="preserve">PKI Service=PKI Service (WK) | Digital Signature=Digital Signature (WK) | WiseID=WiseID (WK) | SSL Certificates=SSL Certificates (WK) | Custom/MPKI/TLS (WK) | FTK=FTK (IcAlps) | Pre-Study=Pre-Study (IcAlps) | Satellite Service (Wise.Sat) | NRE (SEALSQ) | PKI (SEALSQ) | Quantum (SEALSQ)</t>
  </si>
  <si>
    <t xml:space="preserve">service, nre, pki service, digital signature, ssl, ftk, pre-study, satellite service, quantum service</t>
  </si>
  <si>
    <t xml:space="preserve">List NRE (SEALSQ) service deals closing this year.</t>
  </si>
  <si>
    <t xml:space="preserve">SELECT dealname, amount_in_home_currency, closedate FROM DEAL WHERE service_name = 'NRE (SEALSQ)' AND closedate BETWEEN '2026-01-01' AND '2026-12-31'</t>
  </si>
  <si>
    <t xml:space="preserve">TPM Qvault / QS7001 / IP ?</t>
  </si>
  <si>
    <t xml:space="preserve">Yes | No</t>
  </si>
  <si>
    <t xml:space="preserve">tpm ip, qvault ip, qs7001 ip, ip licensing</t>
  </si>
  <si>
    <t xml:space="preserve">Which deals involve a TPM / QVault / QS7001 IP component?</t>
  </si>
  <si>
    <t xml:space="preserve">SELECT dealname, prod___product_name_new_ FROM DEAL WHERE tpm_qvault___qs7001___ip__ = 'Yes'</t>
  </si>
  <si>
    <t xml:space="preserve">action</t>
  </si>
  <si>
    <t xml:space="preserve">ACTION</t>
  </si>
  <si>
    <t xml:space="preserve">Requirements &amp; flags</t>
  </si>
  <si>
    <t xml:space="preserve">Deals where ACTION contains a keyword?</t>
  </si>
  <si>
    <t xml:space="preserve">SELECT dealname, action FROM DEAL WHERE action LIKE '%keyword%'</t>
  </si>
  <si>
    <t xml:space="preserve">dealvariation</t>
  </si>
  <si>
    <t xml:space="preserve">DealVariation</t>
  </si>
  <si>
    <t xml:space="preserve">Deals where DealVariation contains a keyword?</t>
  </si>
  <si>
    <t xml:space="preserve">SELECT dealname, dealvariation FROM DEAL WHERE dealvariation LIKE '%keyword%'</t>
  </si>
  <si>
    <t xml:space="preserve">distributor_update__</t>
  </si>
  <si>
    <t xml:space="preserve">Distributor Update ?</t>
  </si>
  <si>
    <t xml:space="preserve">true=Yes | false=No</t>
  </si>
  <si>
    <t xml:space="preserve">distributor update ?</t>
  </si>
  <si>
    <t xml:space="preserve">Break down deals by Distributor Update ?.</t>
  </si>
  <si>
    <t xml:space="preserve">SELECT distributor_update__, COUNT(*) FROM DEAL GROUP BY distributor_update__</t>
  </si>
  <si>
    <t xml:space="preserve">fips_required</t>
  </si>
  <si>
    <t xml:space="preserve">FIPS required</t>
  </si>
  <si>
    <t xml:space="preserve">No | Yes | Unknown</t>
  </si>
  <si>
    <t xml:space="preserve">fips, fips 140</t>
  </si>
  <si>
    <t xml:space="preserve">Which deals require FIPS?</t>
  </si>
  <si>
    <t xml:space="preserve">SELECT dealname, prod___product_name_new_ FROM DEAL WHERE fips_required = 'Yes'</t>
  </si>
  <si>
    <t xml:space="preserve">Priority</t>
  </si>
  <si>
    <t xml:space="preserve">The priority level of the deal</t>
  </si>
  <si>
    <t xml:space="preserve">low=Low | medium=Medium | high=High</t>
  </si>
  <si>
    <t xml:space="preserve">priority, urgent, high priority</t>
  </si>
  <si>
    <t xml:space="preserve">High-priority open deals?</t>
  </si>
  <si>
    <t xml:space="preserve">military_application</t>
  </si>
  <si>
    <t xml:space="preserve">Military application ?</t>
  </si>
  <si>
    <t xml:space="preserve">military, defense, defence</t>
  </si>
  <si>
    <t xml:space="preserve">Deals with a military application?</t>
  </si>
  <si>
    <t xml:space="preserve">SELECT COUNT(*) FROM DEAL WHERE military_application = 'Yes'</t>
  </si>
  <si>
    <t xml:space="preserve">new_design_in__</t>
  </si>
  <si>
    <t xml:space="preserve">New Design In ?</t>
  </si>
  <si>
    <t xml:space="preserve">YES | NO</t>
  </si>
  <si>
    <t xml:space="preserve">new design in ?</t>
  </si>
  <si>
    <t xml:space="preserve">Break down deals by New Design In ?.</t>
  </si>
  <si>
    <t xml:space="preserve">SELECT new_design_in__, COUNT(*) FROM DEAL GROUP BY new_design_in__</t>
  </si>
  <si>
    <t xml:space="preserve">new_design_win__</t>
  </si>
  <si>
    <t xml:space="preserve">New Design Win ?</t>
  </si>
  <si>
    <t xml:space="preserve">new design win</t>
  </si>
  <si>
    <t xml:space="preserve">How many new design wins this year?</t>
  </si>
  <si>
    <t xml:space="preserve">SELECT COUNT(*) FROM DEAL WHERE new_design_win__ = 'YES' AND design_win_date BETWEEN '2026-01-01' AND '2026-12-31'</t>
  </si>
  <si>
    <t xml:space="preserve">New Lead ?</t>
  </si>
  <si>
    <t xml:space="preserve">new lead ?</t>
  </si>
  <si>
    <t xml:space="preserve">Break down deals by New Lead ?.</t>
  </si>
  <si>
    <t xml:space="preserve">SELECT new_lead__, COUNT(*) FROM DEAL GROUP BY new_lead__</t>
  </si>
  <si>
    <t xml:space="preserve">pqc_required</t>
  </si>
  <si>
    <t xml:space="preserve">PQC_Required</t>
  </si>
  <si>
    <t xml:space="preserve">YES | NO | Unknown</t>
  </si>
  <si>
    <t xml:space="preserve">pqc, post-quantum, quantum-safe</t>
  </si>
  <si>
    <t xml:space="preserve">How many deals require post-quantum cryptography?</t>
  </si>
  <si>
    <t xml:space="preserve">production_po_requirements</t>
  </si>
  <si>
    <t xml:space="preserve">Production PO Requirements</t>
  </si>
  <si>
    <t xml:space="preserve">production po requirements</t>
  </si>
  <si>
    <t xml:space="preserve">Deals where Production PO Requirements contains a keyword?</t>
  </si>
  <si>
    <t xml:space="preserve">SELECT dealname, production_po_requirements FROM DEAL WHERE production_po_requirements LIKE '%keyword%'</t>
  </si>
  <si>
    <t xml:space="preserve">INFO - Quote Status</t>
  </si>
  <si>
    <t xml:space="preserve">Create | Completed</t>
  </si>
  <si>
    <t xml:space="preserve">quote, quotation</t>
  </si>
  <si>
    <t xml:space="preserve">Deals where a quote is still to be created?</t>
  </si>
  <si>
    <t xml:space="preserve">SELECT dealname FROM DEAL WHERE quote_status = 'Create'</t>
  </si>
  <si>
    <t xml:space="preserve">using_tpm_from_competition</t>
  </si>
  <si>
    <t xml:space="preserve">Using TPM from competition</t>
  </si>
  <si>
    <t xml:space="preserve">competitor tpm, infineon, nuvoton, competition</t>
  </si>
  <si>
    <t xml:space="preserve">Which deals are displacing a competitor TPM?</t>
  </si>
  <si>
    <t xml:space="preserve">SELECT dealname, using_tpm_from_competition FROM DEAL WHERE using_tpm_from_competition IS NOT NULL</t>
  </si>
  <si>
    <t xml:space="preserve">vaultitrust_</t>
  </si>
  <si>
    <t xml:space="preserve">VaultItrust?</t>
  </si>
  <si>
    <t xml:space="preserve">Indicate if there is provisioning or not</t>
  </si>
  <si>
    <t xml:space="preserve">vaultitrust, provisioning, personalisation</t>
  </si>
  <si>
    <t xml:space="preserve">How many deals include VaultiTrust provisioning?</t>
  </si>
  <si>
    <t xml:space="preserve">SELECT COUNT(*) FROM DEAL WHERE vaultitrust_ = 'true'</t>
  </si>
  <si>
    <t xml:space="preserve">hs_v2_cumulative_time_in_1031449001</t>
  </si>
  <si>
    <t xml:space="preserve">Cumulative time in "Identified (SEALCOIN)"</t>
  </si>
  <si>
    <t xml:space="preserve">verified (pattern-generated hs_v2)</t>
  </si>
  <si>
    <t xml:space="preserve">Stage timing (per pipeline stage)</t>
  </si>
  <si>
    <t xml:space="preserve">Cumulative seconds in stage 'Identified', pipeline 'SEALCOIN'</t>
  </si>
  <si>
    <t xml:space="preserve">cumulative time in stage</t>
  </si>
  <si>
    <t xml:space="preserve">Average cumulative time (seconds) spent in Identified (SEALCOIN)?</t>
  </si>
  <si>
    <t xml:space="preserve">SELECT AVG(hs_v2_cumulative_time_in_1031449001) FROM DEAL WHERE hs_v2_cumulative_time_in_1031449001 IS NOT NULL</t>
  </si>
  <si>
    <t xml:space="preserve">hs_v2_cumulative_time_in_1031449002</t>
  </si>
  <si>
    <t xml:space="preserve">Cumulative time in "Qualified (SEALCOIN)"</t>
  </si>
  <si>
    <t xml:space="preserve">Cumulative seconds in stage 'Qualified', pipeline 'SEALCOIN'</t>
  </si>
  <si>
    <t xml:space="preserve">Average cumulative time (seconds) spent in Qualified (SEALCOIN)?</t>
  </si>
  <si>
    <t xml:space="preserve">SELECT AVG(hs_v2_cumulative_time_in_1031449002) FROM DEAL WHERE hs_v2_cumulative_time_in_1031449002 IS NOT NULL</t>
  </si>
  <si>
    <t xml:space="preserve">hs_v2_cumulative_time_in_1031449003</t>
  </si>
  <si>
    <t xml:space="preserve">Cumulative time in "Design In (SEALCOIN)"</t>
  </si>
  <si>
    <t xml:space="preserve">Cumulative seconds in stage 'Design In', pipeline 'SEALCOIN'</t>
  </si>
  <si>
    <t xml:space="preserve">Average cumulative time (seconds) spent in Design In (SEALCOIN)?</t>
  </si>
  <si>
    <t xml:space="preserve">SELECT AVG(hs_v2_cumulative_time_in_1031449003) FROM DEAL WHERE hs_v2_cumulative_time_in_1031449003 IS NOT NULL</t>
  </si>
  <si>
    <t xml:space="preserve">hs_v2_cumulative_time_in_1031449004</t>
  </si>
  <si>
    <t xml:space="preserve">Cumulative time in "Design Win (SEALCOIN)"</t>
  </si>
  <si>
    <t xml:space="preserve">Cumulative seconds in stage 'Design Win', pipeline 'SEALCOIN'</t>
  </si>
  <si>
    <t xml:space="preserve">Average cumulative time (seconds) spent in Design Win (SEALCOIN)?</t>
  </si>
  <si>
    <t xml:space="preserve">SELECT AVG(hs_v2_cumulative_time_in_1031449004) FROM DEAL WHERE hs_v2_cumulative_time_in_1031449004 IS NOT NULL</t>
  </si>
  <si>
    <t xml:space="preserve">hs_v2_cumulative_time_in_1031449005</t>
  </si>
  <si>
    <t xml:space="preserve">Cumulative time in "Closed Won (SEALCOIN)"</t>
  </si>
  <si>
    <t xml:space="preserve">Cumulative seconds in stage 'Closed Won', pipeline 'SEALCOIN'</t>
  </si>
  <si>
    <t xml:space="preserve">Average cumulative time (seconds) spent in Closed Won (SEALCOIN)?</t>
  </si>
  <si>
    <t xml:space="preserve">SELECT AVG(hs_v2_cumulative_time_in_1031449005) FROM DEAL WHERE hs_v2_cumulative_time_in_1031449005 IS NOT NULL</t>
  </si>
  <si>
    <t xml:space="preserve">hs_v2_cumulative_time_in_1031449006</t>
  </si>
  <si>
    <t xml:space="preserve">Cumulative time in "Closed Lost (SEALCOIN)"</t>
  </si>
  <si>
    <t xml:space="preserve">Cumulative seconds in stage 'Closed Lost', pipeline 'SEALCOIN'</t>
  </si>
  <si>
    <t xml:space="preserve">Average cumulative time (seconds) spent in Closed Lost (SEALCOIN)?</t>
  </si>
  <si>
    <t xml:space="preserve">SELECT AVG(hs_v2_cumulative_time_in_1031449006) FROM DEAL WHERE hs_v2_cumulative_time_in_1031449006 IS NOT NULL</t>
  </si>
  <si>
    <t xml:space="preserve">hs_v2_cumulative_time_in_1116419644</t>
  </si>
  <si>
    <t xml:space="preserve">Cumulative time in "Identified (Icalps_hardware)"</t>
  </si>
  <si>
    <t xml:space="preserve">Cumulative seconds in stage 'Identified', pipeline 'Icalps_hardware'</t>
  </si>
  <si>
    <t xml:space="preserve">Average cumulative time (seconds) spent in Identified (Icalps_hardware)?</t>
  </si>
  <si>
    <t xml:space="preserve">SELECT AVG(hs_v2_cumulative_time_in_1116419644) FROM DEAL WHERE hs_v2_cumulative_time_in_1116419644 IS NOT NULL</t>
  </si>
  <si>
    <t xml:space="preserve">hs_v2_cumulative_time_in_1116419645</t>
  </si>
  <si>
    <t xml:space="preserve">Cumulative time in "Qualified (Icalps_hardware)"</t>
  </si>
  <si>
    <t xml:space="preserve">Cumulative seconds in stage 'Qualified', pipeline 'Icalps_hardware'</t>
  </si>
  <si>
    <t xml:space="preserve">Average cumulative time (seconds) spent in Qualified (Icalps_hardware)?</t>
  </si>
  <si>
    <t xml:space="preserve">SELECT AVG(hs_v2_cumulative_time_in_1116419645) FROM DEAL WHERE hs_v2_cumulative_time_in_1116419645 IS NOT NULL</t>
  </si>
  <si>
    <t xml:space="preserve">hs_v2_cumulative_time_in_1116419646</t>
  </si>
  <si>
    <t xml:space="preserve">Cumulative time in "Design In (Icalps_hardware)"</t>
  </si>
  <si>
    <t xml:space="preserve">Cumulative seconds in stage 'Design In', pipeline 'Icalps_hardware'</t>
  </si>
  <si>
    <t xml:space="preserve">Average cumulative time (seconds) spent in Design In (Icalps_hardware)?</t>
  </si>
  <si>
    <t xml:space="preserve">SELECT AVG(hs_v2_cumulative_time_in_1116419646) FROM DEAL WHERE hs_v2_cumulative_time_in_1116419646 IS NOT NULL</t>
  </si>
  <si>
    <t xml:space="preserve">hs_v2_cumulative_time_in_1116419647</t>
  </si>
  <si>
    <t xml:space="preserve">Cumulative time in "Design Win (Icalps_hardware)"</t>
  </si>
  <si>
    <t xml:space="preserve">Cumulative seconds in stage 'Design Win', pipeline 'Icalps_hardware'</t>
  </si>
  <si>
    <t xml:space="preserve">Average cumulative time (seconds) spent in Design Win (Icalps_hardware)?</t>
  </si>
  <si>
    <t xml:space="preserve">SELECT AVG(hs_v2_cumulative_time_in_1116419647) FROM DEAL WHERE hs_v2_cumulative_time_in_1116419647 IS NOT NULL</t>
  </si>
  <si>
    <t xml:space="preserve">hs_v2_cumulative_time_in_1116419649</t>
  </si>
  <si>
    <t xml:space="preserve">Cumulative time in "Closed Won (Icalps_hardware)"</t>
  </si>
  <si>
    <t xml:space="preserve">Cumulative seconds in stage 'Closed Won', pipeline 'Icalps_hardware'</t>
  </si>
  <si>
    <t xml:space="preserve">Average cumulative time (seconds) spent in Closed Won (Icalps_hardware)?</t>
  </si>
  <si>
    <t xml:space="preserve">SELECT AVG(hs_v2_cumulative_time_in_1116419649) FROM DEAL WHERE hs_v2_cumulative_time_in_1116419649 IS NOT NULL</t>
  </si>
  <si>
    <t xml:space="preserve">hs_v2_cumulative_time_in_1116419650</t>
  </si>
  <si>
    <t xml:space="preserve">Cumulative time in "Closed Dead (Icalps_hardware)"</t>
  </si>
  <si>
    <t xml:space="preserve">Cumulative seconds in stage 'Closed Dead', pipeline 'Icalps_hardware'</t>
  </si>
  <si>
    <t xml:space="preserve">Average cumulative time (seconds) spent in Closed Dead (Icalps_hardware)?</t>
  </si>
  <si>
    <t xml:space="preserve">SELECT AVG(hs_v2_cumulative_time_in_1116419650) FROM DEAL WHERE hs_v2_cumulative_time_in_1116419650 IS NOT NULL</t>
  </si>
  <si>
    <t xml:space="preserve">hs_v2_cumulative_time_in_1116652341</t>
  </si>
  <si>
    <t xml:space="preserve">Cumulative time in "On-Hold (Icalps_hardware)"</t>
  </si>
  <si>
    <t xml:space="preserve">Cumulative seconds in stage 'On-Hold', pipeline 'Icalps_hardware'</t>
  </si>
  <si>
    <t xml:space="preserve">Average cumulative time (seconds) spent in On-Hold (Icalps_hardware)?</t>
  </si>
  <si>
    <t xml:space="preserve">SELECT AVG(hs_v2_cumulative_time_in_1116652341) FROM DEAL WHERE hs_v2_cumulative_time_in_1116652341 IS NOT NULL</t>
  </si>
  <si>
    <t xml:space="preserve">hs_v2_cumulative_time_in_12096409</t>
  </si>
  <si>
    <t xml:space="preserve">Cumulative time in "Identified (SealSQ Hardware)"</t>
  </si>
  <si>
    <t xml:space="preserve">Cumulative seconds in stage 'Identified', pipeline 'SealSQ Hardware'</t>
  </si>
  <si>
    <t xml:space="preserve">Average cumulative time (seconds) spent in Identified (SealSQ Hardware)?</t>
  </si>
  <si>
    <t xml:space="preserve">SELECT AVG(hs_v2_cumulative_time_in_12096409) FROM DEAL WHERE hs_v2_cumulative_time_in_12096409 IS NOT NULL</t>
  </si>
  <si>
    <t xml:space="preserve">hs_v2_cumulative_time_in_12096410</t>
  </si>
  <si>
    <t xml:space="preserve">Cumulative time in "Qualified (SealSQ Hardware)"</t>
  </si>
  <si>
    <t xml:space="preserve">Cumulative seconds in stage 'Qualified', pipeline 'SealSQ Hardware'</t>
  </si>
  <si>
    <t xml:space="preserve">Average cumulative time (seconds) spent in Qualified (SealSQ Hardware)?</t>
  </si>
  <si>
    <t xml:space="preserve">SELECT AVG(hs_v2_cumulative_time_in_12096410) FROM DEAL WHERE hs_v2_cumulative_time_in_12096410 IS NOT NULL</t>
  </si>
  <si>
    <t xml:space="preserve">hs_v2_cumulative_time_in_12096411</t>
  </si>
  <si>
    <t xml:space="preserve">Cumulative time in "Design In (SealSQ Hardware)"</t>
  </si>
  <si>
    <t xml:space="preserve">Cumulative seconds in stage 'Design In', pipeline 'SealSQ Hardware'</t>
  </si>
  <si>
    <t xml:space="preserve">Average cumulative time (seconds) spent in Design In (SealSQ Hardware)?</t>
  </si>
  <si>
    <t xml:space="preserve">SELECT AVG(hs_v2_cumulative_time_in_12096411) FROM DEAL WHERE hs_v2_cumulative_time_in_12096411 IS NOT NULL</t>
  </si>
  <si>
    <t xml:space="preserve">hs_v2_cumulative_time_in_12096412</t>
  </si>
  <si>
    <t xml:space="preserve">Cumulative time in "Design Win (SealSQ Hardware)"</t>
  </si>
  <si>
    <t xml:space="preserve">Cumulative seconds in stage 'Design Win', pipeline 'SealSQ Hardware'</t>
  </si>
  <si>
    <t xml:space="preserve">Average cumulative time (seconds) spent in Design Win (SealSQ Hardware)?</t>
  </si>
  <si>
    <t xml:space="preserve">SELECT AVG(hs_v2_cumulative_time_in_12096412) FROM DEAL WHERE hs_v2_cumulative_time_in_12096412 IS NOT NULL</t>
  </si>
  <si>
    <t xml:space="preserve">hs_v2_cumulative_time_in_12096415</t>
  </si>
  <si>
    <t xml:space="preserve">Cumulative time in "Closed Lost (SealSQ Hardware)"</t>
  </si>
  <si>
    <t xml:space="preserve">Cumulative seconds in stage 'Closed Lost', pipeline 'SealSQ Hardware'</t>
  </si>
  <si>
    <t xml:space="preserve">Average cumulative time (seconds) spent in Closed Lost (SealSQ Hardware)?</t>
  </si>
  <si>
    <t xml:space="preserve">SELECT AVG(hs_v2_cumulative_time_in_12096415) FROM DEAL WHERE hs_v2_cumulative_time_in_12096415 IS NOT NULL</t>
  </si>
  <si>
    <t xml:space="preserve">hs_v2_cumulative_time_in_12096869</t>
  </si>
  <si>
    <t xml:space="preserve">Cumulative time in "Closed Won (SealSQ Hardware)"</t>
  </si>
  <si>
    <t xml:space="preserve">Cumulative seconds in stage 'Closed Won', pipeline 'SealSQ Hardware'</t>
  </si>
  <si>
    <t xml:space="preserve">Average cumulative time (seconds) spent in Closed Won (SealSQ Hardware)?</t>
  </si>
  <si>
    <t xml:space="preserve">SELECT AVG(hs_v2_cumulative_time_in_12096869) FROM DEAL WHERE hs_v2_cumulative_time_in_12096869 IS NOT NULL</t>
  </si>
  <si>
    <t xml:space="preserve">hs_v2_cumulative_time_in_1311252059</t>
  </si>
  <si>
    <t xml:space="preserve">Cumulative time in "Identified (Wise.Sat)"</t>
  </si>
  <si>
    <t xml:space="preserve">Cumulative seconds in stage 'Identified', pipeline 'Wise.Sat'</t>
  </si>
  <si>
    <t xml:space="preserve">Average cumulative time (seconds) spent in Identified (Wise.Sat)?</t>
  </si>
  <si>
    <t xml:space="preserve">SELECT AVG(hs_v2_cumulative_time_in_1311252059) FROM DEAL WHERE hs_v2_cumulative_time_in_1311252059 IS NOT NULL</t>
  </si>
  <si>
    <t xml:space="preserve">hs_v2_cumulative_time_in_1311252060</t>
  </si>
  <si>
    <t xml:space="preserve">Cumulative time in "Qualified (Wise.Sat)"</t>
  </si>
  <si>
    <t xml:space="preserve">Cumulative seconds in stage 'Qualified', pipeline 'Wise.Sat'</t>
  </si>
  <si>
    <t xml:space="preserve">Average cumulative time (seconds) spent in Qualified (Wise.Sat)?</t>
  </si>
  <si>
    <t xml:space="preserve">SELECT AVG(hs_v2_cumulative_time_in_1311252060) FROM DEAL WHERE hs_v2_cumulative_time_in_1311252060 IS NOT NULL</t>
  </si>
  <si>
    <t xml:space="preserve">hs_v2_cumulative_time_in_1311252061</t>
  </si>
  <si>
    <t xml:space="preserve">Cumulative time in "Design In (Wise.Sat)"</t>
  </si>
  <si>
    <t xml:space="preserve">Cumulative seconds in stage 'Design In', pipeline 'Wise.Sat'</t>
  </si>
  <si>
    <t xml:space="preserve">Average cumulative time (seconds) spent in Design In (Wise.Sat)?</t>
  </si>
  <si>
    <t xml:space="preserve">SELECT AVG(hs_v2_cumulative_time_in_1311252061) FROM DEAL WHERE hs_v2_cumulative_time_in_1311252061 IS NOT NULL</t>
  </si>
  <si>
    <t xml:space="preserve">hs_v2_cumulative_time_in_1311252062</t>
  </si>
  <si>
    <t xml:space="preserve">Cumulative time in "Design Win (Wise.Sat)"</t>
  </si>
  <si>
    <t xml:space="preserve">Cumulative seconds in stage 'Design Win', pipeline 'Wise.Sat'</t>
  </si>
  <si>
    <t xml:space="preserve">Average cumulative time (seconds) spent in Design Win (Wise.Sat)?</t>
  </si>
  <si>
    <t xml:space="preserve">SELECT AVG(hs_v2_cumulative_time_in_1311252062) FROM DEAL WHERE hs_v2_cumulative_time_in_1311252062 IS NOT NULL</t>
  </si>
  <si>
    <t xml:space="preserve">hs_v2_cumulative_time_in_1311252063</t>
  </si>
  <si>
    <t xml:space="preserve">Cumulative time in "Closed Won (Wise.Sat)"</t>
  </si>
  <si>
    <t xml:space="preserve">Cumulative seconds in stage 'Closed Won', pipeline 'Wise.Sat'</t>
  </si>
  <si>
    <t xml:space="preserve">Average cumulative time (seconds) spent in Closed Won (Wise.Sat)?</t>
  </si>
  <si>
    <t xml:space="preserve">SELECT AVG(hs_v2_cumulative_time_in_1311252063) FROM DEAL WHERE hs_v2_cumulative_time_in_1311252063 IS NOT NULL</t>
  </si>
  <si>
    <t xml:space="preserve">hs_v2_cumulative_time_in_1311252064</t>
  </si>
  <si>
    <t xml:space="preserve">Cumulative time in "Closed Dead (Wise.Sat)"</t>
  </si>
  <si>
    <t xml:space="preserve">Cumulative seconds in stage 'Closed Dead', pipeline 'Wise.Sat'</t>
  </si>
  <si>
    <t xml:space="preserve">Average cumulative time (seconds) spent in Closed Dead (Wise.Sat)?</t>
  </si>
  <si>
    <t xml:space="preserve">SELECT AVG(hs_v2_cumulative_time_in_1311252064) FROM DEAL WHERE hs_v2_cumulative_time_in_1311252064 IS NOT NULL</t>
  </si>
  <si>
    <t xml:space="preserve">hs_v2_cumulative_time_in_1311252065</t>
  </si>
  <si>
    <t xml:space="preserve">Cumulative time in "Closed lost (Wise.Sat)"</t>
  </si>
  <si>
    <t xml:space="preserve">Cumulative seconds in stage 'Closed lost', pipeline 'Wise.Sat'</t>
  </si>
  <si>
    <t xml:space="preserve">Average cumulative time (seconds) spent in Closed lost (Wise.Sat)?</t>
  </si>
  <si>
    <t xml:space="preserve">SELECT AVG(hs_v2_cumulative_time_in_1311252065) FROM DEAL WHERE hs_v2_cumulative_time_in_1311252065 IS NOT NULL</t>
  </si>
  <si>
    <t xml:space="preserve">hs_v2_cumulative_time_in_1313738265</t>
  </si>
  <si>
    <t xml:space="preserve">Cumulative time in "Closed Lost (Icalps_hardware)"</t>
  </si>
  <si>
    <t xml:space="preserve">Cumulative seconds in stage 'Closed Lost', pipeline 'Icalps_hardware'</t>
  </si>
  <si>
    <t xml:space="preserve">Average cumulative time (seconds) spent in Closed Lost (Icalps_hardware)?</t>
  </si>
  <si>
    <t xml:space="preserve">SELECT AVG(hs_v2_cumulative_time_in_1313738265) FROM DEAL WHERE hs_v2_cumulative_time_in_1313738265 IS NOT NULL</t>
  </si>
  <si>
    <t xml:space="preserve">hs_v2_cumulative_time_in_13772274</t>
  </si>
  <si>
    <t xml:space="preserve">Cumulative time in "Closed Dead (SealSQ Hardware)"</t>
  </si>
  <si>
    <t xml:space="preserve">Cumulative seconds in stage 'Closed Dead', pipeline 'SealSQ Hardware'</t>
  </si>
  <si>
    <t xml:space="preserve">Average cumulative time (seconds) spent in Closed Dead (SealSQ Hardware)?</t>
  </si>
  <si>
    <t xml:space="preserve">SELECT AVG(hs_v2_cumulative_time_in_13772274) FROM DEAL WHERE hs_v2_cumulative_time_in_13772274 IS NOT NULL</t>
  </si>
  <si>
    <t xml:space="preserve">hs_v2_cumulative_time_in_13772280</t>
  </si>
  <si>
    <t xml:space="preserve">Cumulative time in "Identified (SealSQ Services)"</t>
  </si>
  <si>
    <t xml:space="preserve">Cumulative seconds in stage 'Identified', pipeline 'SealSQ Services'</t>
  </si>
  <si>
    <t xml:space="preserve">Average cumulative time (seconds) spent in Identified (SealSQ Services)?</t>
  </si>
  <si>
    <t xml:space="preserve">SELECT AVG(hs_v2_cumulative_time_in_13772280) FROM DEAL WHERE hs_v2_cumulative_time_in_13772280 IS NOT NULL</t>
  </si>
  <si>
    <t xml:space="preserve">hs_v2_cumulative_time_in_13772281</t>
  </si>
  <si>
    <t xml:space="preserve">Cumulative time in "Qualified (SealSQ Services)"</t>
  </si>
  <si>
    <t xml:space="preserve">Cumulative seconds in stage 'Qualified', pipeline 'SealSQ Services'</t>
  </si>
  <si>
    <t xml:space="preserve">Average cumulative time (seconds) spent in Qualified (SealSQ Services)?</t>
  </si>
  <si>
    <t xml:space="preserve">SELECT AVG(hs_v2_cumulative_time_in_13772281) FROM DEAL WHERE hs_v2_cumulative_time_in_13772281 IS NOT NULL</t>
  </si>
  <si>
    <t xml:space="preserve">hs_v2_cumulative_time_in_13772282</t>
  </si>
  <si>
    <t xml:space="preserve">Cumulative time in "Design In (SealSQ Services)"</t>
  </si>
  <si>
    <t xml:space="preserve">Cumulative seconds in stage 'Design In', pipeline 'SealSQ Services'</t>
  </si>
  <si>
    <t xml:space="preserve">Average cumulative time (seconds) spent in Design In (SealSQ Services)?</t>
  </si>
  <si>
    <t xml:space="preserve">SELECT AVG(hs_v2_cumulative_time_in_13772282) FROM DEAL WHERE hs_v2_cumulative_time_in_13772282 IS NOT NULL</t>
  </si>
  <si>
    <t xml:space="preserve">hs_v2_cumulative_time_in_13772285</t>
  </si>
  <si>
    <t xml:space="preserve">Cumulative time in "Closed Won (SealSQ Services)"</t>
  </si>
  <si>
    <t xml:space="preserve">Cumulative seconds in stage 'Closed Won', pipeline 'SealSQ Services'</t>
  </si>
  <si>
    <t xml:space="preserve">Average cumulative time (seconds) spent in Closed Won (SealSQ Services)?</t>
  </si>
  <si>
    <t xml:space="preserve">SELECT AVG(hs_v2_cumulative_time_in_13772285) FROM DEAL WHERE hs_v2_cumulative_time_in_13772285 IS NOT NULL</t>
  </si>
  <si>
    <t xml:space="preserve">hs_v2_cumulative_time_in_13772286</t>
  </si>
  <si>
    <t xml:space="preserve">Cumulative time in "Closed Lost (SealSQ Services)"</t>
  </si>
  <si>
    <t xml:space="preserve">Cumulative seconds in stage 'Closed Lost', pipeline 'SealSQ Services'</t>
  </si>
  <si>
    <t xml:space="preserve">Average cumulative time (seconds) spent in Closed Lost (SealSQ Services)?</t>
  </si>
  <si>
    <t xml:space="preserve">SELECT AVG(hs_v2_cumulative_time_in_13772286) FROM DEAL WHERE hs_v2_cumulative_time_in_13772286 IS NOT NULL</t>
  </si>
  <si>
    <t xml:space="preserve">hs_v2_cumulative_time_in_13772309</t>
  </si>
  <si>
    <t xml:space="preserve">Cumulative time in "Closed Dead (SealSQ Services)"</t>
  </si>
  <si>
    <t xml:space="preserve">Cumulative seconds in stage 'Closed Dead', pipeline 'SealSQ Services'</t>
  </si>
  <si>
    <t xml:space="preserve">Average cumulative time (seconds) spent in Closed Dead (SealSQ Services)?</t>
  </si>
  <si>
    <t xml:space="preserve">SELECT AVG(hs_v2_cumulative_time_in_13772309) FROM DEAL WHERE hs_v2_cumulative_time_in_13772309 IS NOT NULL</t>
  </si>
  <si>
    <t xml:space="preserve">hs_v2_cumulative_time_in_31868514</t>
  </si>
  <si>
    <t xml:space="preserve">Cumulative time in "Design Win (SealSQ Services)"</t>
  </si>
  <si>
    <t xml:space="preserve">Cumulative seconds in stage 'Design Win', pipeline 'SealSQ Services'</t>
  </si>
  <si>
    <t xml:space="preserve">Average cumulative time (seconds) spent in Design Win (SealSQ Services)?</t>
  </si>
  <si>
    <t xml:space="preserve">SELECT AVG(hs_v2_cumulative_time_in_31868514) FROM DEAL WHERE hs_v2_cumulative_time_in_31868514 IS NOT NULL</t>
  </si>
  <si>
    <t xml:space="preserve">hs_v2_cumulative_time_in_85103752</t>
  </si>
  <si>
    <t xml:space="preserve">Cumulative time in "Identified (Wisekey Services + PKI)"</t>
  </si>
  <si>
    <t xml:space="preserve">Cumulative seconds in stage 'Identified', pipeline 'Wisekey Services + PKI'</t>
  </si>
  <si>
    <t xml:space="preserve">Average cumulative time (seconds) spent in Identified (Wisekey Services + PKI)?</t>
  </si>
  <si>
    <t xml:space="preserve">SELECT AVG(hs_v2_cumulative_time_in_85103752) FROM DEAL WHERE hs_v2_cumulative_time_in_85103752 IS NOT NULL</t>
  </si>
  <si>
    <t xml:space="preserve">hs_v2_cumulative_time_in_85103753</t>
  </si>
  <si>
    <t xml:space="preserve">Cumulative time in "Qualified (Wisekey Services + PKI)"</t>
  </si>
  <si>
    <t xml:space="preserve">Cumulative seconds in stage 'Qualified', pipeline 'Wisekey Services + PKI'</t>
  </si>
  <si>
    <t xml:space="preserve">Average cumulative time (seconds) spent in Qualified (Wisekey Services + PKI)?</t>
  </si>
  <si>
    <t xml:space="preserve">SELECT AVG(hs_v2_cumulative_time_in_85103753) FROM DEAL WHERE hs_v2_cumulative_time_in_85103753 IS NOT NULL</t>
  </si>
  <si>
    <t xml:space="preserve">hs_v2_cumulative_time_in_85103754</t>
  </si>
  <si>
    <t xml:space="preserve">Cumulative time in "Design In (Wisekey Services + PKI)"</t>
  </si>
  <si>
    <t xml:space="preserve">Cumulative seconds in stage 'Design In', pipeline 'Wisekey Services + PKI'</t>
  </si>
  <si>
    <t xml:space="preserve">Average cumulative time (seconds) spent in Design In (Wisekey Services + PKI)?</t>
  </si>
  <si>
    <t xml:space="preserve">SELECT AVG(hs_v2_cumulative_time_in_85103754) FROM DEAL WHERE hs_v2_cumulative_time_in_85103754 IS NOT NULL</t>
  </si>
  <si>
    <t xml:space="preserve">hs_v2_cumulative_time_in_85103755</t>
  </si>
  <si>
    <t xml:space="preserve">Cumulative time in "Design Win (Wisekey Services + PKI)"</t>
  </si>
  <si>
    <t xml:space="preserve">Cumulative seconds in stage 'Design Win', pipeline 'Wisekey Services + PKI'</t>
  </si>
  <si>
    <t xml:space="preserve">Average cumulative time (seconds) spent in Design Win (Wisekey Services + PKI)?</t>
  </si>
  <si>
    <t xml:space="preserve">SELECT AVG(hs_v2_cumulative_time_in_85103755) FROM DEAL WHERE hs_v2_cumulative_time_in_85103755 IS NOT NULL</t>
  </si>
  <si>
    <t xml:space="preserve">hs_v2_cumulative_time_in_85103756</t>
  </si>
  <si>
    <t xml:space="preserve">Cumulative time in "Closed Won (Wisekey Services + PKI)"</t>
  </si>
  <si>
    <t xml:space="preserve">Cumulative seconds in stage 'Closed Won', pipeline 'Wisekey Services + PKI'</t>
  </si>
  <si>
    <t xml:space="preserve">Average cumulative time (seconds) spent in Closed Won (Wisekey Services + PKI)?</t>
  </si>
  <si>
    <t xml:space="preserve">SELECT AVG(hs_v2_cumulative_time_in_85103756) FROM DEAL WHERE hs_v2_cumulative_time_in_85103756 IS NOT NULL</t>
  </si>
  <si>
    <t xml:space="preserve">hs_v2_cumulative_time_in_85103757</t>
  </si>
  <si>
    <t xml:space="preserve">Cumulative time in "Closed Dead (Wisekey Services + PKI)"</t>
  </si>
  <si>
    <t xml:space="preserve">Cumulative seconds in stage 'Closed Dead', pipeline 'Wisekey Services + PKI'</t>
  </si>
  <si>
    <t xml:space="preserve">Average cumulative time (seconds) spent in Closed Dead (Wisekey Services + PKI)?</t>
  </si>
  <si>
    <t xml:space="preserve">SELECT AVG(hs_v2_cumulative_time_in_85103757) FROM DEAL WHERE hs_v2_cumulative_time_in_85103757 IS NOT NULL</t>
  </si>
  <si>
    <t xml:space="preserve">hs_v2_cumulative_time_in_85103758</t>
  </si>
  <si>
    <t xml:space="preserve">Cumulative time in "Closed lost (Wisekey Services + PKI)"</t>
  </si>
  <si>
    <t xml:space="preserve">Cumulative seconds in stage 'Closed lost', pipeline 'Wisekey Services + PKI'</t>
  </si>
  <si>
    <t xml:space="preserve">Average cumulative time (seconds) spent in Closed lost (Wisekey Services + PKI)?</t>
  </si>
  <si>
    <t xml:space="preserve">SELECT AVG(hs_v2_cumulative_time_in_85103758) FROM DEAL WHERE hs_v2_cumulative_time_in_85103758 IS NOT NULL</t>
  </si>
  <si>
    <t xml:space="preserve">hs_v2_date_entered_1031449001</t>
  </si>
  <si>
    <t xml:space="preserve">Date entered "Identified (SEALCOIN)"</t>
  </si>
  <si>
    <t xml:space="preserve">Datetime the deal entered stage 'Identified', pipeline 'SEALCOIN'</t>
  </si>
  <si>
    <t xml:space="preserve">entered stage, date entered</t>
  </si>
  <si>
    <t xml:space="preserve">Which deals entered Identified (SEALCOIN) this year?</t>
  </si>
  <si>
    <t xml:space="preserve">SELECT dealname, hs_v2_date_entered_1031449001 FROM DEAL WHERE hs_v2_date_entered_1031449001 BETWEEN '2026-01-01' AND '2026-12-31'</t>
  </si>
  <si>
    <t xml:space="preserve">hs_v2_date_entered_1031449002</t>
  </si>
  <si>
    <t xml:space="preserve">Date entered "Qualified (SEALCOIN)"</t>
  </si>
  <si>
    <t xml:space="preserve">Datetime the deal entered stage 'Qualified', pipeline 'SEALCOIN'</t>
  </si>
  <si>
    <t xml:space="preserve">Which deals entered Qualified (SEALCOIN) this year?</t>
  </si>
  <si>
    <t xml:space="preserve">SELECT dealname, hs_v2_date_entered_1031449002 FROM DEAL WHERE hs_v2_date_entered_1031449002 BETWEEN '2026-01-01' AND '2026-12-31'</t>
  </si>
  <si>
    <t xml:space="preserve">hs_v2_date_entered_1031449003</t>
  </si>
  <si>
    <t xml:space="preserve">Date entered "Design In (SEALCOIN)"</t>
  </si>
  <si>
    <t xml:space="preserve">Datetime the deal entered stage 'Design In', pipeline 'SEALCOIN'</t>
  </si>
  <si>
    <t xml:space="preserve">Which deals entered Design In (SEALCOIN) this year?</t>
  </si>
  <si>
    <t xml:space="preserve">SELECT dealname, hs_v2_date_entered_1031449003 FROM DEAL WHERE hs_v2_date_entered_1031449003 BETWEEN '2026-01-01' AND '2026-12-31'</t>
  </si>
  <si>
    <t xml:space="preserve">hs_v2_date_entered_1031449004</t>
  </si>
  <si>
    <t xml:space="preserve">Date entered "Design Win (SEALCOIN)"</t>
  </si>
  <si>
    <t xml:space="preserve">Datetime the deal entered stage 'Design Win', pipeline 'SEALCOIN'</t>
  </si>
  <si>
    <t xml:space="preserve">Which deals entered Design Win (SEALCOIN) this year?</t>
  </si>
  <si>
    <t xml:space="preserve">SELECT dealname, hs_v2_date_entered_1031449004 FROM DEAL WHERE hs_v2_date_entered_1031449004 BETWEEN '2026-01-01' AND '2026-12-31'</t>
  </si>
  <si>
    <t xml:space="preserve">hs_v2_date_entered_1031449005</t>
  </si>
  <si>
    <t xml:space="preserve">Date entered "Closed Won (SEALCOIN)"</t>
  </si>
  <si>
    <t xml:space="preserve">Datetime the deal entered stage 'Closed Won', pipeline 'SEALCOIN'</t>
  </si>
  <si>
    <t xml:space="preserve">Which deals entered Closed Won (SEALCOIN) this year?</t>
  </si>
  <si>
    <t xml:space="preserve">SELECT dealname, hs_v2_date_entered_1031449005 FROM DEAL WHERE hs_v2_date_entered_1031449005 BETWEEN '2026-01-01' AND '2026-12-31'</t>
  </si>
  <si>
    <t xml:space="preserve">hs_v2_date_entered_1031449006</t>
  </si>
  <si>
    <t xml:space="preserve">Date entered "Closed Lost (SEALCOIN)"</t>
  </si>
  <si>
    <t xml:space="preserve">Datetime the deal entered stage 'Closed Lost', pipeline 'SEALCOIN'</t>
  </si>
  <si>
    <t xml:space="preserve">Which deals entered Closed Lost (SEALCOIN) this year?</t>
  </si>
  <si>
    <t xml:space="preserve">SELECT dealname, hs_v2_date_entered_1031449006 FROM DEAL WHERE hs_v2_date_entered_1031449006 BETWEEN '2026-01-01' AND '2026-12-31'</t>
  </si>
  <si>
    <t xml:space="preserve">hs_v2_date_entered_1116419644</t>
  </si>
  <si>
    <t xml:space="preserve">Date entered "Identified (Icalps_hardware)"</t>
  </si>
  <si>
    <t xml:space="preserve">Datetime the deal entered stage 'Identified', pipeline 'Icalps_hardware'</t>
  </si>
  <si>
    <t xml:space="preserve">Which deals entered Identified (Icalps_hardware) this year?</t>
  </si>
  <si>
    <t xml:space="preserve">SELECT dealname, hs_v2_date_entered_1116419644 FROM DEAL WHERE hs_v2_date_entered_1116419644 BETWEEN '2026-01-01' AND '2026-12-31'</t>
  </si>
  <si>
    <t xml:space="preserve">hs_v2_date_entered_1116419645</t>
  </si>
  <si>
    <t xml:space="preserve">Date entered "Qualified (Icalps_hardware)"</t>
  </si>
  <si>
    <t xml:space="preserve">Datetime the deal entered stage 'Qualified', pipeline 'Icalps_hardware'</t>
  </si>
  <si>
    <t xml:space="preserve">Which deals entered Qualified (Icalps_hardware) this year?</t>
  </si>
  <si>
    <t xml:space="preserve">SELECT dealname, hs_v2_date_entered_1116419645 FROM DEAL WHERE hs_v2_date_entered_1116419645 BETWEEN '2026-01-01' AND '2026-12-31'</t>
  </si>
  <si>
    <t xml:space="preserve">hs_v2_date_entered_1116419646</t>
  </si>
  <si>
    <t xml:space="preserve">Date entered "Design In (Icalps_hardware)"</t>
  </si>
  <si>
    <t xml:space="preserve">Datetime the deal entered stage 'Design In', pipeline 'Icalps_hardware'</t>
  </si>
  <si>
    <t xml:space="preserve">Which deals entered Design In (Icalps_hardware) this year?</t>
  </si>
  <si>
    <t xml:space="preserve">SELECT dealname, hs_v2_date_entered_1116419646 FROM DEAL WHERE hs_v2_date_entered_1116419646 BETWEEN '2026-01-01' AND '2026-12-31'</t>
  </si>
  <si>
    <t xml:space="preserve">hs_v2_date_entered_1116419647</t>
  </si>
  <si>
    <t xml:space="preserve">Date entered "Design Win (Icalps_hardware)"</t>
  </si>
  <si>
    <t xml:space="preserve">Datetime the deal entered stage 'Design Win', pipeline 'Icalps_hardware'</t>
  </si>
  <si>
    <t xml:space="preserve">Which deals entered Design Win (Icalps_hardware) this year?</t>
  </si>
  <si>
    <t xml:space="preserve">SELECT dealname, hs_v2_date_entered_1116419647 FROM DEAL WHERE hs_v2_date_entered_1116419647 BETWEEN '2026-01-01' AND '2026-12-31'</t>
  </si>
  <si>
    <t xml:space="preserve">hs_v2_date_entered_1116419649</t>
  </si>
  <si>
    <t xml:space="preserve">Date entered "Closed Won (Icalps_hardware)"</t>
  </si>
  <si>
    <t xml:space="preserve">Datetime the deal entered stage 'Closed Won', pipeline 'Icalps_hardware'</t>
  </si>
  <si>
    <t xml:space="preserve">Which deals entered Closed Won (Icalps_hardware) this year?</t>
  </si>
  <si>
    <t xml:space="preserve">SELECT dealname, hs_v2_date_entered_1116419649 FROM DEAL WHERE hs_v2_date_entered_1116419649 BETWEEN '2026-01-01' AND '2026-12-31'</t>
  </si>
  <si>
    <t xml:space="preserve">hs_v2_date_entered_1116419650</t>
  </si>
  <si>
    <t xml:space="preserve">Date entered "Closed Dead (Icalps_hardware)"</t>
  </si>
  <si>
    <t xml:space="preserve">Datetime the deal entered stage 'Closed Dead', pipeline 'Icalps_hardware'</t>
  </si>
  <si>
    <t xml:space="preserve">Which deals entered Closed Dead (Icalps_hardware) this year?</t>
  </si>
  <si>
    <t xml:space="preserve">SELECT dealname, hs_v2_date_entered_1116419650 FROM DEAL WHERE hs_v2_date_entered_1116419650 BETWEEN '2026-01-01' AND '2026-12-31'</t>
  </si>
  <si>
    <t xml:space="preserve">hs_v2_date_entered_1116652341</t>
  </si>
  <si>
    <t xml:space="preserve">Date entered "On-Hold (Icalps_hardware)"</t>
  </si>
  <si>
    <t xml:space="preserve">Datetime the deal entered stage 'On-Hold', pipeline 'Icalps_hardware'</t>
  </si>
  <si>
    <t xml:space="preserve">Which deals entered On-Hold (Icalps_hardware) this year?</t>
  </si>
  <si>
    <t xml:space="preserve">SELECT dealname, hs_v2_date_entered_1116652341 FROM DEAL WHERE hs_v2_date_entered_1116652341 BETWEEN '2026-01-01' AND '2026-12-31'</t>
  </si>
  <si>
    <t xml:space="preserve">hs_v2_date_entered_12096409</t>
  </si>
  <si>
    <t xml:space="preserve">Date entered "Identified (SealSQ Hardware)"</t>
  </si>
  <si>
    <t xml:space="preserve">Datetime the deal entered stage 'Identified', pipeline 'SealSQ Hardware'</t>
  </si>
  <si>
    <t xml:space="preserve">Which deals entered Identified (SealSQ Hardware) this year?</t>
  </si>
  <si>
    <t xml:space="preserve">SELECT dealname, hs_v2_date_entered_12096409 FROM DEAL WHERE hs_v2_date_entered_12096409 BETWEEN '2026-01-01' AND '2026-12-31'</t>
  </si>
  <si>
    <t xml:space="preserve">hs_v2_date_entered_12096410</t>
  </si>
  <si>
    <t xml:space="preserve">Date entered "Qualified (SealSQ Hardware)"</t>
  </si>
  <si>
    <t xml:space="preserve">Datetime the deal entered stage 'Qualified', pipeline 'SealSQ Hardware'</t>
  </si>
  <si>
    <t xml:space="preserve">Which deals entered Qualified (SealSQ Hardware) this year?</t>
  </si>
  <si>
    <t xml:space="preserve">SELECT dealname, hs_v2_date_entered_12096410 FROM DEAL WHERE hs_v2_date_entered_12096410 BETWEEN '2026-01-01' AND '2026-12-31'</t>
  </si>
  <si>
    <t xml:space="preserve">hs_v2_date_entered_12096411</t>
  </si>
  <si>
    <t xml:space="preserve">Date entered "Design In (SealSQ Hardware)"</t>
  </si>
  <si>
    <t xml:space="preserve">Datetime the deal entered stage 'Design In', pipeline 'SealSQ Hardware'</t>
  </si>
  <si>
    <t xml:space="preserve">Which deals entered Design In (SealSQ Hardware) this year?</t>
  </si>
  <si>
    <t xml:space="preserve">SELECT dealname, hs_v2_date_entered_12096411 FROM DEAL WHERE hs_v2_date_entered_12096411 BETWEEN '2026-01-01' AND '2026-12-31'</t>
  </si>
  <si>
    <t xml:space="preserve">hs_v2_date_entered_12096412</t>
  </si>
  <si>
    <t xml:space="preserve">Date entered "Design Win (SealSQ Hardware)"</t>
  </si>
  <si>
    <t xml:space="preserve">Datetime the deal entered stage 'Design Win', pipeline 'SealSQ Hardware'</t>
  </si>
  <si>
    <t xml:space="preserve">Which deals entered Design Win (SealSQ Hardware) this year?</t>
  </si>
  <si>
    <t xml:space="preserve">SELECT dealname, hs_v2_date_entered_12096412 FROM DEAL WHERE hs_v2_date_entered_12096412 BETWEEN '2026-01-01' AND '2026-12-31'</t>
  </si>
  <si>
    <t xml:space="preserve">hs_v2_date_entered_12096415</t>
  </si>
  <si>
    <t xml:space="preserve">Date entered "Closed Lost (SealSQ Hardware)"</t>
  </si>
  <si>
    <t xml:space="preserve">Datetime the deal entered stage 'Closed Lost', pipeline 'SealSQ Hardware'</t>
  </si>
  <si>
    <t xml:space="preserve">Which deals entered Closed Lost (SealSQ Hardware) this year?</t>
  </si>
  <si>
    <t xml:space="preserve">SELECT dealname, hs_v2_date_entered_12096415 FROM DEAL WHERE hs_v2_date_entered_12096415 BETWEEN '2026-01-01' AND '2026-12-31'</t>
  </si>
  <si>
    <t xml:space="preserve">hs_v2_date_entered_12096869</t>
  </si>
  <si>
    <t xml:space="preserve">Date entered "Closed Won (SealSQ Hardware)"</t>
  </si>
  <si>
    <t xml:space="preserve">Datetime the deal entered stage 'Closed Won', pipeline 'SealSQ Hardware'</t>
  </si>
  <si>
    <t xml:space="preserve">Which deals entered Closed Won (SealSQ Hardware) this year?</t>
  </si>
  <si>
    <t xml:space="preserve">SELECT dealname, hs_v2_date_entered_12096869 FROM DEAL WHERE hs_v2_date_entered_12096869 BETWEEN '2026-01-01' AND '2026-12-31'</t>
  </si>
  <si>
    <t xml:space="preserve">hs_v2_date_entered_1311252059</t>
  </si>
  <si>
    <t xml:space="preserve">Date entered "Identified (Wise.Sat)"</t>
  </si>
  <si>
    <t xml:space="preserve">Datetime the deal entered stage 'Identified', pipeline 'Wise.Sat'</t>
  </si>
  <si>
    <t xml:space="preserve">Which deals entered Identified (Wise.Sat) this year?</t>
  </si>
  <si>
    <t xml:space="preserve">SELECT dealname, hs_v2_date_entered_1311252059 FROM DEAL WHERE hs_v2_date_entered_1311252059 BETWEEN '2026-01-01' AND '2026-12-31'</t>
  </si>
  <si>
    <t xml:space="preserve">hs_v2_date_entered_1311252060</t>
  </si>
  <si>
    <t xml:space="preserve">Date entered "Qualified (Wise.Sat)"</t>
  </si>
  <si>
    <t xml:space="preserve">Datetime the deal entered stage 'Qualified', pipeline 'Wise.Sat'</t>
  </si>
  <si>
    <t xml:space="preserve">Which deals entered Qualified (Wise.Sat) this year?</t>
  </si>
  <si>
    <t xml:space="preserve">SELECT dealname, hs_v2_date_entered_1311252060 FROM DEAL WHERE hs_v2_date_entered_1311252060 BETWEEN '2026-01-01' AND '2026-12-31'</t>
  </si>
  <si>
    <t xml:space="preserve">hs_v2_date_entered_1311252061</t>
  </si>
  <si>
    <t xml:space="preserve">Date entered "Design In (Wise.Sat)"</t>
  </si>
  <si>
    <t xml:space="preserve">Datetime the deal entered stage 'Design In', pipeline 'Wise.Sat'</t>
  </si>
  <si>
    <t xml:space="preserve">Which deals entered Design In (Wise.Sat) this year?</t>
  </si>
  <si>
    <t xml:space="preserve">SELECT dealname, hs_v2_date_entered_1311252061 FROM DEAL WHERE hs_v2_date_entered_1311252061 BETWEEN '2026-01-01' AND '2026-12-31'</t>
  </si>
  <si>
    <t xml:space="preserve">hs_v2_date_entered_1311252062</t>
  </si>
  <si>
    <t xml:space="preserve">Date entered "Design Win (Wise.Sat)"</t>
  </si>
  <si>
    <t xml:space="preserve">Datetime the deal entered stage 'Design Win', pipeline 'Wise.Sat'</t>
  </si>
  <si>
    <t xml:space="preserve">Which deals entered Design Win (Wise.Sat) this year?</t>
  </si>
  <si>
    <t xml:space="preserve">SELECT dealname, hs_v2_date_entered_1311252062 FROM DEAL WHERE hs_v2_date_entered_1311252062 BETWEEN '2026-01-01' AND '2026-12-31'</t>
  </si>
  <si>
    <t xml:space="preserve">hs_v2_date_entered_1311252063</t>
  </si>
  <si>
    <t xml:space="preserve">Date entered "Closed Won (Wise.Sat)"</t>
  </si>
  <si>
    <t xml:space="preserve">Datetime the deal entered stage 'Closed Won', pipeline 'Wise.Sat'</t>
  </si>
  <si>
    <t xml:space="preserve">Which deals entered Closed Won (Wise.Sat) this year?</t>
  </si>
  <si>
    <t xml:space="preserve">SELECT dealname, hs_v2_date_entered_1311252063 FROM DEAL WHERE hs_v2_date_entered_1311252063 BETWEEN '2026-01-01' AND '2026-12-31'</t>
  </si>
  <si>
    <t xml:space="preserve">hs_v2_date_entered_1311252064</t>
  </si>
  <si>
    <t xml:space="preserve">Date entered "Closed Dead (Wise.Sat)"</t>
  </si>
  <si>
    <t xml:space="preserve">Datetime the deal entered stage 'Closed Dead', pipeline 'Wise.Sat'</t>
  </si>
  <si>
    <t xml:space="preserve">Which deals entered Closed Dead (Wise.Sat) this year?</t>
  </si>
  <si>
    <t xml:space="preserve">SELECT dealname, hs_v2_date_entered_1311252064 FROM DEAL WHERE hs_v2_date_entered_1311252064 BETWEEN '2026-01-01' AND '2026-12-31'</t>
  </si>
  <si>
    <t xml:space="preserve">hs_v2_date_entered_1311252065</t>
  </si>
  <si>
    <t xml:space="preserve">Date entered "Closed lost (Wise.Sat)"</t>
  </si>
  <si>
    <t xml:space="preserve">Datetime the deal entered stage 'Closed lost', pipeline 'Wise.Sat'</t>
  </si>
  <si>
    <t xml:space="preserve">Which deals entered Closed lost (Wise.Sat) this year?</t>
  </si>
  <si>
    <t xml:space="preserve">SELECT dealname, hs_v2_date_entered_1311252065 FROM DEAL WHERE hs_v2_date_entered_1311252065 BETWEEN '2026-01-01' AND '2026-12-31'</t>
  </si>
  <si>
    <t xml:space="preserve">hs_v2_date_entered_1313738265</t>
  </si>
  <si>
    <t xml:space="preserve">Date entered "Closed Lost (Icalps_hardware)"</t>
  </si>
  <si>
    <t xml:space="preserve">Datetime the deal entered stage 'Closed Lost', pipeline 'Icalps_hardware'</t>
  </si>
  <si>
    <t xml:space="preserve">Which deals entered Closed Lost (Icalps_hardware) this year?</t>
  </si>
  <si>
    <t xml:space="preserve">SELECT dealname, hs_v2_date_entered_1313738265 FROM DEAL WHERE hs_v2_date_entered_1313738265 BETWEEN '2026-01-01' AND '2026-12-31'</t>
  </si>
  <si>
    <t xml:space="preserve">hs_v2_date_entered_13772274</t>
  </si>
  <si>
    <t xml:space="preserve">Date entered "Closed Dead (SealSQ Hardware)"</t>
  </si>
  <si>
    <t xml:space="preserve">Datetime the deal entered stage 'Closed Dead', pipeline 'SealSQ Hardware'</t>
  </si>
  <si>
    <t xml:space="preserve">Which deals entered Closed Dead (SealSQ Hardware) this year?</t>
  </si>
  <si>
    <t xml:space="preserve">SELECT dealname, hs_v2_date_entered_13772274 FROM DEAL WHERE hs_v2_date_entered_13772274 BETWEEN '2026-01-01' AND '2026-12-31'</t>
  </si>
  <si>
    <t xml:space="preserve">hs_v2_date_entered_13772280</t>
  </si>
  <si>
    <t xml:space="preserve">Date entered "Identified (SealSQ Services)"</t>
  </si>
  <si>
    <t xml:space="preserve">Datetime the deal entered stage 'Identified', pipeline 'SealSQ Services'</t>
  </si>
  <si>
    <t xml:space="preserve">Which deals entered Identified (SealSQ Services) this year?</t>
  </si>
  <si>
    <t xml:space="preserve">SELECT dealname, hs_v2_date_entered_13772280 FROM DEAL WHERE hs_v2_date_entered_13772280 BETWEEN '2026-01-01' AND '2026-12-31'</t>
  </si>
  <si>
    <t xml:space="preserve">hs_v2_date_entered_13772281</t>
  </si>
  <si>
    <t xml:space="preserve">Date entered "Qualified (SealSQ Services)"</t>
  </si>
  <si>
    <t xml:space="preserve">Datetime the deal entered stage 'Qualified', pipeline 'SealSQ Services'</t>
  </si>
  <si>
    <t xml:space="preserve">Which deals entered Qualified (SealSQ Services) this year?</t>
  </si>
  <si>
    <t xml:space="preserve">SELECT dealname, hs_v2_date_entered_13772281 FROM DEAL WHERE hs_v2_date_entered_13772281 BETWEEN '2026-01-01' AND '2026-12-31'</t>
  </si>
  <si>
    <t xml:space="preserve">hs_v2_date_entered_13772282</t>
  </si>
  <si>
    <t xml:space="preserve">Date entered "Design In (SealSQ Services)"</t>
  </si>
  <si>
    <t xml:space="preserve">Datetime the deal entered stage 'Design In', pipeline 'SealSQ Services'</t>
  </si>
  <si>
    <t xml:space="preserve">Which deals entered Design In (SealSQ Services) this year?</t>
  </si>
  <si>
    <t xml:space="preserve">SELECT dealname, hs_v2_date_entered_13772282 FROM DEAL WHERE hs_v2_date_entered_13772282 BETWEEN '2026-01-01' AND '2026-12-31'</t>
  </si>
  <si>
    <t xml:space="preserve">hs_v2_date_entered_13772285</t>
  </si>
  <si>
    <t xml:space="preserve">Date entered "Closed Won (SealSQ Services)"</t>
  </si>
  <si>
    <t xml:space="preserve">Datetime the deal entered stage 'Closed Won', pipeline 'SealSQ Services'</t>
  </si>
  <si>
    <t xml:space="preserve">Which deals entered Closed Won (SealSQ Services) this year?</t>
  </si>
  <si>
    <t xml:space="preserve">SELECT dealname, hs_v2_date_entered_13772285 FROM DEAL WHERE hs_v2_date_entered_13772285 BETWEEN '2026-01-01' AND '2026-12-31'</t>
  </si>
  <si>
    <t xml:space="preserve">hs_v2_date_entered_13772286</t>
  </si>
  <si>
    <t xml:space="preserve">Date entered "Closed Lost (SealSQ Services)"</t>
  </si>
  <si>
    <t xml:space="preserve">Datetime the deal entered stage 'Closed Lost', pipeline 'SealSQ Services'</t>
  </si>
  <si>
    <t xml:space="preserve">Which deals entered Closed Lost (SealSQ Services) this year?</t>
  </si>
  <si>
    <t xml:space="preserve">SELECT dealname, hs_v2_date_entered_13772286 FROM DEAL WHERE hs_v2_date_entered_13772286 BETWEEN '2026-01-01' AND '2026-12-31'</t>
  </si>
  <si>
    <t xml:space="preserve">hs_v2_date_entered_13772309</t>
  </si>
  <si>
    <t xml:space="preserve">Date entered "Closed Dead (SealSQ Services)"</t>
  </si>
  <si>
    <t xml:space="preserve">Datetime the deal entered stage 'Closed Dead', pipeline 'SealSQ Services'</t>
  </si>
  <si>
    <t xml:space="preserve">Which deals entered Closed Dead (SealSQ Services) this year?</t>
  </si>
  <si>
    <t xml:space="preserve">SELECT dealname, hs_v2_date_entered_13772309 FROM DEAL WHERE hs_v2_date_entered_13772309 BETWEEN '2026-01-01' AND '2026-12-31'</t>
  </si>
  <si>
    <t xml:space="preserve">hs_v2_date_entered_31868514</t>
  </si>
  <si>
    <t xml:space="preserve">Date entered "Design Win (SealSQ Services)"</t>
  </si>
  <si>
    <t xml:space="preserve">Datetime the deal entered stage 'Design Win', pipeline 'SealSQ Services'</t>
  </si>
  <si>
    <t xml:space="preserve">Which deals entered Design Win (SealSQ Services) this year?</t>
  </si>
  <si>
    <t xml:space="preserve">SELECT dealname, hs_v2_date_entered_31868514 FROM DEAL WHERE hs_v2_date_entered_31868514 BETWEEN '2026-01-01' AND '2026-12-31'</t>
  </si>
  <si>
    <t xml:space="preserve">hs_v2_date_entered_85103752</t>
  </si>
  <si>
    <t xml:space="preserve">Date entered "Identified (Wisekey Services + PKI)"</t>
  </si>
  <si>
    <t xml:space="preserve">Datetime the deal entered stage 'Identified', pipeline 'Wisekey Services + PKI'</t>
  </si>
  <si>
    <t xml:space="preserve">Which deals entered Identified (Wisekey Services + PKI) this year?</t>
  </si>
  <si>
    <t xml:space="preserve">SELECT dealname, hs_v2_date_entered_85103752 FROM DEAL WHERE hs_v2_date_entered_85103752 BETWEEN '2026-01-01' AND '2026-12-31'</t>
  </si>
  <si>
    <t xml:space="preserve">hs_v2_date_entered_85103753</t>
  </si>
  <si>
    <t xml:space="preserve">Date entered "Qualified (Wisekey Services + PKI)"</t>
  </si>
  <si>
    <t xml:space="preserve">Datetime the deal entered stage 'Qualified', pipeline 'Wisekey Services + PKI'</t>
  </si>
  <si>
    <t xml:space="preserve">Which deals entered Qualified (Wisekey Services + PKI) this year?</t>
  </si>
  <si>
    <t xml:space="preserve">SELECT dealname, hs_v2_date_entered_85103753 FROM DEAL WHERE hs_v2_date_entered_85103753 BETWEEN '2026-01-01' AND '2026-12-31'</t>
  </si>
  <si>
    <t xml:space="preserve">hs_v2_date_entered_85103754</t>
  </si>
  <si>
    <t xml:space="preserve">Date entered "Design In (Wisekey Services + PKI)"</t>
  </si>
  <si>
    <t xml:space="preserve">Datetime the deal entered stage 'Design In', pipeline 'Wisekey Services + PKI'</t>
  </si>
  <si>
    <t xml:space="preserve">Which deals entered Design In (Wisekey Services + PKI) this year?</t>
  </si>
  <si>
    <t xml:space="preserve">SELECT dealname, hs_v2_date_entered_85103754 FROM DEAL WHERE hs_v2_date_entered_85103754 BETWEEN '2026-01-01' AND '2026-12-31'</t>
  </si>
  <si>
    <t xml:space="preserve">hs_v2_date_entered_85103755</t>
  </si>
  <si>
    <t xml:space="preserve">Date entered "Design Win (Wisekey Services + PKI)"</t>
  </si>
  <si>
    <t xml:space="preserve">Datetime the deal entered stage 'Design Win', pipeline 'Wisekey Services + PKI'</t>
  </si>
  <si>
    <t xml:space="preserve">Which deals entered Design Win (Wisekey Services + PKI) this year?</t>
  </si>
  <si>
    <t xml:space="preserve">SELECT dealname, hs_v2_date_entered_85103755 FROM DEAL WHERE hs_v2_date_entered_85103755 BETWEEN '2026-01-01' AND '2026-12-31'</t>
  </si>
  <si>
    <t xml:space="preserve">hs_v2_date_entered_85103756</t>
  </si>
  <si>
    <t xml:space="preserve">Date entered "Closed Won (Wisekey Services + PKI)"</t>
  </si>
  <si>
    <t xml:space="preserve">Datetime the deal entered stage 'Closed Won', pipeline 'Wisekey Services + PKI'</t>
  </si>
  <si>
    <t xml:space="preserve">Which deals entered Closed Won (Wisekey Services + PKI) this year?</t>
  </si>
  <si>
    <t xml:space="preserve">SELECT dealname, hs_v2_date_entered_85103756 FROM DEAL WHERE hs_v2_date_entered_85103756 BETWEEN '2026-01-01' AND '2026-12-31'</t>
  </si>
  <si>
    <t xml:space="preserve">hs_v2_date_entered_85103757</t>
  </si>
  <si>
    <t xml:space="preserve">Date entered "Closed Dead (Wisekey Services + PKI)"</t>
  </si>
  <si>
    <t xml:space="preserve">Datetime the deal entered stage 'Closed Dead', pipeline 'Wisekey Services + PKI'</t>
  </si>
  <si>
    <t xml:space="preserve">Which deals entered Closed Dead (Wisekey Services + PKI) this year?</t>
  </si>
  <si>
    <t xml:space="preserve">SELECT dealname, hs_v2_date_entered_85103757 FROM DEAL WHERE hs_v2_date_entered_85103757 BETWEEN '2026-01-01' AND '2026-12-31'</t>
  </si>
  <si>
    <t xml:space="preserve">hs_v2_date_entered_85103758</t>
  </si>
  <si>
    <t xml:space="preserve">Date entered "Closed lost (Wisekey Services + PKI)"</t>
  </si>
  <si>
    <t xml:space="preserve">Datetime the deal entered stage 'Closed lost', pipeline 'Wisekey Services + PKI'</t>
  </si>
  <si>
    <t xml:space="preserve">Which deals entered Closed lost (Wisekey Services + PKI) this year?</t>
  </si>
  <si>
    <t xml:space="preserve">SELECT dealname, hs_v2_date_entered_85103758 FROM DEAL WHERE hs_v2_date_entered_85103758 BETWEEN '2026-01-01' AND '2026-12-31'</t>
  </si>
  <si>
    <t xml:space="preserve">hs_v2_date_entered_current_stage</t>
  </si>
  <si>
    <t xml:space="preserve">Date entered current stage</t>
  </si>
  <si>
    <t xml:space="preserve">Which deals entered Date entered current stage this year?</t>
  </si>
  <si>
    <t xml:space="preserve">SELECT dealname, hs_v2_date_entered_current_stage FROM DEAL WHERE hs_v2_date_entered_current_stage BETWEEN '2026-01-01' AND '2026-12-31'</t>
  </si>
  <si>
    <t xml:space="preserve">hs_v2_date_exited_1031449001</t>
  </si>
  <si>
    <t xml:space="preserve">Date exited "Identified (SEALCOIN)"</t>
  </si>
  <si>
    <t xml:space="preserve">Datetime the deal exited stage 'Identified', pipeline 'SEALCOIN'</t>
  </si>
  <si>
    <t xml:space="preserve">exited stage, date exited</t>
  </si>
  <si>
    <t xml:space="preserve">Which deals exited Identified (SEALCOIN) this year?</t>
  </si>
  <si>
    <t xml:space="preserve">SELECT dealname, hs_v2_date_exited_1031449001 FROM DEAL WHERE hs_v2_date_exited_1031449001 BETWEEN '2026-01-01' AND '2026-12-31'</t>
  </si>
  <si>
    <t xml:space="preserve">hs_v2_date_exited_1031449002</t>
  </si>
  <si>
    <t xml:space="preserve">Date exited "Qualified (SEALCOIN)"</t>
  </si>
  <si>
    <t xml:space="preserve">Datetime the deal exited stage 'Qualified', pipeline 'SEALCOIN'</t>
  </si>
  <si>
    <t xml:space="preserve">Which deals exited Qualified (SEALCOIN) this year?</t>
  </si>
  <si>
    <t xml:space="preserve">SELECT dealname, hs_v2_date_exited_1031449002 FROM DEAL WHERE hs_v2_date_exited_1031449002 BETWEEN '2026-01-01' AND '2026-12-31'</t>
  </si>
  <si>
    <t xml:space="preserve">hs_v2_date_exited_1031449003</t>
  </si>
  <si>
    <t xml:space="preserve">Date exited "Design In (SEALCOIN)"</t>
  </si>
  <si>
    <t xml:space="preserve">Datetime the deal exited stage 'Design In', pipeline 'SEALCOIN'</t>
  </si>
  <si>
    <t xml:space="preserve">Which deals exited Design In (SEALCOIN) this year?</t>
  </si>
  <si>
    <t xml:space="preserve">SELECT dealname, hs_v2_date_exited_1031449003 FROM DEAL WHERE hs_v2_date_exited_1031449003 BETWEEN '2026-01-01' AND '2026-12-31'</t>
  </si>
  <si>
    <t xml:space="preserve">hs_v2_date_exited_1031449004</t>
  </si>
  <si>
    <t xml:space="preserve">Date exited "Design Win (SEALCOIN)"</t>
  </si>
  <si>
    <t xml:space="preserve">Datetime the deal exited stage 'Design Win', pipeline 'SEALCOIN'</t>
  </si>
  <si>
    <t xml:space="preserve">Which deals exited Design Win (SEALCOIN) this year?</t>
  </si>
  <si>
    <t xml:space="preserve">SELECT dealname, hs_v2_date_exited_1031449004 FROM DEAL WHERE hs_v2_date_exited_1031449004 BETWEEN '2026-01-01' AND '2026-12-31'</t>
  </si>
  <si>
    <t xml:space="preserve">hs_v2_date_exited_1031449005</t>
  </si>
  <si>
    <t xml:space="preserve">Date exited "Closed Won (SEALCOIN)"</t>
  </si>
  <si>
    <t xml:space="preserve">Datetime the deal exited stage 'Closed Won', pipeline 'SEALCOIN'</t>
  </si>
  <si>
    <t xml:space="preserve">Which deals exited Closed Won (SEALCOIN) this year?</t>
  </si>
  <si>
    <t xml:space="preserve">SELECT dealname, hs_v2_date_exited_1031449005 FROM DEAL WHERE hs_v2_date_exited_1031449005 BETWEEN '2026-01-01' AND '2026-12-31'</t>
  </si>
  <si>
    <t xml:space="preserve">hs_v2_date_exited_1031449006</t>
  </si>
  <si>
    <t xml:space="preserve">Date exited "Closed Lost (SEALCOIN)"</t>
  </si>
  <si>
    <t xml:space="preserve">Datetime the deal exited stage 'Closed Lost', pipeline 'SEALCOIN'</t>
  </si>
  <si>
    <t xml:space="preserve">Which deals exited Closed Lost (SEALCOIN) this year?</t>
  </si>
  <si>
    <t xml:space="preserve">SELECT dealname, hs_v2_date_exited_1031449006 FROM DEAL WHERE hs_v2_date_exited_1031449006 BETWEEN '2026-01-01' AND '2026-12-31'</t>
  </si>
  <si>
    <t xml:space="preserve">hs_v2_date_exited_1116419644</t>
  </si>
  <si>
    <t xml:space="preserve">Date exited "Identified (Icalps_hardware)"</t>
  </si>
  <si>
    <t xml:space="preserve">Datetime the deal exited stage 'Identified', pipeline 'Icalps_hardware'</t>
  </si>
  <si>
    <t xml:space="preserve">Which deals exited Identified (Icalps_hardware) this year?</t>
  </si>
  <si>
    <t xml:space="preserve">SELECT dealname, hs_v2_date_exited_1116419644 FROM DEAL WHERE hs_v2_date_exited_1116419644 BETWEEN '2026-01-01' AND '2026-12-31'</t>
  </si>
  <si>
    <t xml:space="preserve">hs_v2_date_exited_1116419645</t>
  </si>
  <si>
    <t xml:space="preserve">Date exited "Qualified (Icalps_hardware)"</t>
  </si>
  <si>
    <t xml:space="preserve">Datetime the deal exited stage 'Qualified', pipeline 'Icalps_hardware'</t>
  </si>
  <si>
    <t xml:space="preserve">Which deals exited Qualified (Icalps_hardware) this year?</t>
  </si>
  <si>
    <t xml:space="preserve">SELECT dealname, hs_v2_date_exited_1116419645 FROM DEAL WHERE hs_v2_date_exited_1116419645 BETWEEN '2026-01-01' AND '2026-12-31'</t>
  </si>
  <si>
    <t xml:space="preserve">hs_v2_date_exited_1116419646</t>
  </si>
  <si>
    <t xml:space="preserve">Date exited "Design In (Icalps_hardware)"</t>
  </si>
  <si>
    <t xml:space="preserve">Datetime the deal exited stage 'Design In', pipeline 'Icalps_hardware'</t>
  </si>
  <si>
    <t xml:space="preserve">Which deals exited Design In (Icalps_hardware) this year?</t>
  </si>
  <si>
    <t xml:space="preserve">SELECT dealname, hs_v2_date_exited_1116419646 FROM DEAL WHERE hs_v2_date_exited_1116419646 BETWEEN '2026-01-01' AND '2026-12-31'</t>
  </si>
  <si>
    <t xml:space="preserve">hs_v2_date_exited_1116419647</t>
  </si>
  <si>
    <t xml:space="preserve">Date exited "Design Win (Icalps_hardware)"</t>
  </si>
  <si>
    <t xml:space="preserve">Datetime the deal exited stage 'Design Win', pipeline 'Icalps_hardware'</t>
  </si>
  <si>
    <t xml:space="preserve">Which deals exited Design Win (Icalps_hardware) this year?</t>
  </si>
  <si>
    <t xml:space="preserve">SELECT dealname, hs_v2_date_exited_1116419647 FROM DEAL WHERE hs_v2_date_exited_1116419647 BETWEEN '2026-01-01' AND '2026-12-31'</t>
  </si>
  <si>
    <t xml:space="preserve">hs_v2_date_exited_1116419649</t>
  </si>
  <si>
    <t xml:space="preserve">Date exited "Closed Won (Icalps_hardware)"</t>
  </si>
  <si>
    <t xml:space="preserve">Datetime the deal exited stage 'Closed Won', pipeline 'Icalps_hardware'</t>
  </si>
  <si>
    <t xml:space="preserve">Which deals exited Closed Won (Icalps_hardware) this year?</t>
  </si>
  <si>
    <t xml:space="preserve">SELECT dealname, hs_v2_date_exited_1116419649 FROM DEAL WHERE hs_v2_date_exited_1116419649 BETWEEN '2026-01-01' AND '2026-12-31'</t>
  </si>
  <si>
    <t xml:space="preserve">hs_v2_date_exited_1116419650</t>
  </si>
  <si>
    <t xml:space="preserve">Date exited "Closed Dead (Icalps_hardware)"</t>
  </si>
  <si>
    <t xml:space="preserve">Datetime the deal exited stage 'Closed Dead', pipeline 'Icalps_hardware'</t>
  </si>
  <si>
    <t xml:space="preserve">Which deals exited Closed Dead (Icalps_hardware) this year?</t>
  </si>
  <si>
    <t xml:space="preserve">SELECT dealname, hs_v2_date_exited_1116419650 FROM DEAL WHERE hs_v2_date_exited_1116419650 BETWEEN '2026-01-01' AND '2026-12-31'</t>
  </si>
  <si>
    <t xml:space="preserve">hs_v2_date_exited_1116652341</t>
  </si>
  <si>
    <t xml:space="preserve">Date exited "On-Hold (Icalps_hardware)"</t>
  </si>
  <si>
    <t xml:space="preserve">Datetime the deal exited stage 'On-Hold', pipeline 'Icalps_hardware'</t>
  </si>
  <si>
    <t xml:space="preserve">Which deals exited On-Hold (Icalps_hardware) this year?</t>
  </si>
  <si>
    <t xml:space="preserve">SELECT dealname, hs_v2_date_exited_1116652341 FROM DEAL WHERE hs_v2_date_exited_1116652341 BETWEEN '2026-01-01' AND '2026-12-31'</t>
  </si>
  <si>
    <t xml:space="preserve">hs_v2_date_exited_12096409</t>
  </si>
  <si>
    <t xml:space="preserve">Date exited "Identified (SealSQ Hardware)"</t>
  </si>
  <si>
    <t xml:space="preserve">Datetime the deal exited stage 'Identified', pipeline 'SealSQ Hardware'</t>
  </si>
  <si>
    <t xml:space="preserve">Which deals exited Identified (SealSQ Hardware) this year?</t>
  </si>
  <si>
    <t xml:space="preserve">SELECT dealname, hs_v2_date_exited_12096409 FROM DEAL WHERE hs_v2_date_exited_12096409 BETWEEN '2026-01-01' AND '2026-12-31'</t>
  </si>
  <si>
    <t xml:space="preserve">hs_v2_date_exited_12096410</t>
  </si>
  <si>
    <t xml:space="preserve">Date exited "Qualified (SealSQ Hardware)"</t>
  </si>
  <si>
    <t xml:space="preserve">Datetime the deal exited stage 'Qualified', pipeline 'SealSQ Hardware'</t>
  </si>
  <si>
    <t xml:space="preserve">Which deals exited Qualified (SealSQ Hardware) this year?</t>
  </si>
  <si>
    <t xml:space="preserve">SELECT dealname, hs_v2_date_exited_12096410 FROM DEAL WHERE hs_v2_date_exited_12096410 BETWEEN '2026-01-01' AND '2026-12-31'</t>
  </si>
  <si>
    <t xml:space="preserve">hs_v2_date_exited_12096411</t>
  </si>
  <si>
    <t xml:space="preserve">Date exited "Design In (SealSQ Hardware)"</t>
  </si>
  <si>
    <t xml:space="preserve">Datetime the deal exited stage 'Design In', pipeline 'SealSQ Hardware'</t>
  </si>
  <si>
    <t xml:space="preserve">Which deals exited Design In (SealSQ Hardware) this year?</t>
  </si>
  <si>
    <t xml:space="preserve">SELECT dealname, hs_v2_date_exited_12096411 FROM DEAL WHERE hs_v2_date_exited_12096411 BETWEEN '2026-01-01' AND '2026-12-31'</t>
  </si>
  <si>
    <t xml:space="preserve">hs_v2_date_exited_12096412</t>
  </si>
  <si>
    <t xml:space="preserve">Date exited "Design Win (SealSQ Hardware)"</t>
  </si>
  <si>
    <t xml:space="preserve">Datetime the deal exited stage 'Design Win', pipeline 'SealSQ Hardware'</t>
  </si>
  <si>
    <t xml:space="preserve">Which deals exited Design Win (SealSQ Hardware) this year?</t>
  </si>
  <si>
    <t xml:space="preserve">SELECT dealname, hs_v2_date_exited_12096412 FROM DEAL WHERE hs_v2_date_exited_12096412 BETWEEN '2026-01-01' AND '2026-12-31'</t>
  </si>
  <si>
    <t xml:space="preserve">hs_v2_date_exited_12096415</t>
  </si>
  <si>
    <t xml:space="preserve">Date exited "Closed Lost (SealSQ Hardware)"</t>
  </si>
  <si>
    <t xml:space="preserve">Datetime the deal exited stage 'Closed Lost', pipeline 'SealSQ Hardware'</t>
  </si>
  <si>
    <t xml:space="preserve">Which deals exited Closed Lost (SealSQ Hardware) this year?</t>
  </si>
  <si>
    <t xml:space="preserve">SELECT dealname, hs_v2_date_exited_12096415 FROM DEAL WHERE hs_v2_date_exited_12096415 BETWEEN '2026-01-01' AND '2026-12-31'</t>
  </si>
  <si>
    <t xml:space="preserve">hs_v2_date_exited_12096869</t>
  </si>
  <si>
    <t xml:space="preserve">Date exited "Closed Won (SealSQ Hardware)"</t>
  </si>
  <si>
    <t xml:space="preserve">Datetime the deal exited stage 'Closed Won', pipeline 'SealSQ Hardware'</t>
  </si>
  <si>
    <t xml:space="preserve">Which deals exited Closed Won (SealSQ Hardware) this year?</t>
  </si>
  <si>
    <t xml:space="preserve">SELECT dealname, hs_v2_date_exited_12096869 FROM DEAL WHERE hs_v2_date_exited_12096869 BETWEEN '2026-01-01' AND '2026-12-31'</t>
  </si>
  <si>
    <t xml:space="preserve">hs_v2_date_exited_1311252059</t>
  </si>
  <si>
    <t xml:space="preserve">Date exited "Identified (Wise.Sat)"</t>
  </si>
  <si>
    <t xml:space="preserve">Datetime the deal exited stage 'Identified', pipeline 'Wise.Sat'</t>
  </si>
  <si>
    <t xml:space="preserve">Which deals exited Identified (Wise.Sat) this year?</t>
  </si>
  <si>
    <t xml:space="preserve">SELECT dealname, hs_v2_date_exited_1311252059 FROM DEAL WHERE hs_v2_date_exited_1311252059 BETWEEN '2026-01-01' AND '2026-12-31'</t>
  </si>
  <si>
    <t xml:space="preserve">hs_v2_date_exited_1311252060</t>
  </si>
  <si>
    <t xml:space="preserve">Date exited "Qualified (Wise.Sat)"</t>
  </si>
  <si>
    <t xml:space="preserve">Datetime the deal exited stage 'Qualified', pipeline 'Wise.Sat'</t>
  </si>
  <si>
    <t xml:space="preserve">Which deals exited Qualified (Wise.Sat) this year?</t>
  </si>
  <si>
    <t xml:space="preserve">SELECT dealname, hs_v2_date_exited_1311252060 FROM DEAL WHERE hs_v2_date_exited_1311252060 BETWEEN '2026-01-01' AND '2026-12-31'</t>
  </si>
  <si>
    <t xml:space="preserve">hs_v2_date_exited_1311252061</t>
  </si>
  <si>
    <t xml:space="preserve">Date exited "Design In (Wise.Sat)"</t>
  </si>
  <si>
    <t xml:space="preserve">Datetime the deal exited stage 'Design In', pipeline 'Wise.Sat'</t>
  </si>
  <si>
    <t xml:space="preserve">Which deals exited Design In (Wise.Sat) this year?</t>
  </si>
  <si>
    <t xml:space="preserve">SELECT dealname, hs_v2_date_exited_1311252061 FROM DEAL WHERE hs_v2_date_exited_1311252061 BETWEEN '2026-01-01' AND '2026-12-31'</t>
  </si>
  <si>
    <t xml:space="preserve">hs_v2_date_exited_1311252062</t>
  </si>
  <si>
    <t xml:space="preserve">Date exited "Design Win (Wise.Sat)"</t>
  </si>
  <si>
    <t xml:space="preserve">Datetime the deal exited stage 'Design Win', pipeline 'Wise.Sat'</t>
  </si>
  <si>
    <t xml:space="preserve">Which deals exited Design Win (Wise.Sat) this year?</t>
  </si>
  <si>
    <t xml:space="preserve">SELECT dealname, hs_v2_date_exited_1311252062 FROM DEAL WHERE hs_v2_date_exited_1311252062 BETWEEN '2026-01-01' AND '2026-12-31'</t>
  </si>
  <si>
    <t xml:space="preserve">hs_v2_date_exited_1311252063</t>
  </si>
  <si>
    <t xml:space="preserve">Date exited "Closed Won (Wise.Sat)"</t>
  </si>
  <si>
    <t xml:space="preserve">Datetime the deal exited stage 'Closed Won', pipeline 'Wise.Sat'</t>
  </si>
  <si>
    <t xml:space="preserve">Which deals exited Closed Won (Wise.Sat) this year?</t>
  </si>
  <si>
    <t xml:space="preserve">SELECT dealname, hs_v2_date_exited_1311252063 FROM DEAL WHERE hs_v2_date_exited_1311252063 BETWEEN '2026-01-01' AND '2026-12-31'</t>
  </si>
  <si>
    <t xml:space="preserve">hs_v2_date_exited_1311252064</t>
  </si>
  <si>
    <t xml:space="preserve">Date exited "Closed Dead (Wise.Sat)"</t>
  </si>
  <si>
    <t xml:space="preserve">Datetime the deal exited stage 'Closed Dead', pipeline 'Wise.Sat'</t>
  </si>
  <si>
    <t xml:space="preserve">Which deals exited Closed Dead (Wise.Sat) this year?</t>
  </si>
  <si>
    <t xml:space="preserve">SELECT dealname, hs_v2_date_exited_1311252064 FROM DEAL WHERE hs_v2_date_exited_1311252064 BETWEEN '2026-01-01' AND '2026-12-31'</t>
  </si>
  <si>
    <t xml:space="preserve">hs_v2_date_exited_1311252065</t>
  </si>
  <si>
    <t xml:space="preserve">Date exited "Closed lost (Wise.Sat)"</t>
  </si>
  <si>
    <t xml:space="preserve">Datetime the deal exited stage 'Closed lost', pipeline 'Wise.Sat'</t>
  </si>
  <si>
    <t xml:space="preserve">Which deals exited Closed lost (Wise.Sat) this year?</t>
  </si>
  <si>
    <t xml:space="preserve">SELECT dealname, hs_v2_date_exited_1311252065 FROM DEAL WHERE hs_v2_date_exited_1311252065 BETWEEN '2026-01-01' AND '2026-12-31'</t>
  </si>
  <si>
    <t xml:space="preserve">hs_v2_date_exited_1313738265</t>
  </si>
  <si>
    <t xml:space="preserve">Date exited "Closed Lost (Icalps_hardware)"</t>
  </si>
  <si>
    <t xml:space="preserve">Datetime the deal exited stage 'Closed Lost', pipeline 'Icalps_hardware'</t>
  </si>
  <si>
    <t xml:space="preserve">Which deals exited Closed Lost (Icalps_hardware) this year?</t>
  </si>
  <si>
    <t xml:space="preserve">SELECT dealname, hs_v2_date_exited_1313738265 FROM DEAL WHERE hs_v2_date_exited_1313738265 BETWEEN '2026-01-01' AND '2026-12-31'</t>
  </si>
  <si>
    <t xml:space="preserve">hs_v2_date_exited_13772274</t>
  </si>
  <si>
    <t xml:space="preserve">Date exited "Closed Dead (SealSQ Hardware)"</t>
  </si>
  <si>
    <t xml:space="preserve">Datetime the deal exited stage 'Closed Dead', pipeline 'SealSQ Hardware'</t>
  </si>
  <si>
    <t xml:space="preserve">Which deals exited Closed Dead (SealSQ Hardware) this year?</t>
  </si>
  <si>
    <t xml:space="preserve">SELECT dealname, hs_v2_date_exited_13772274 FROM DEAL WHERE hs_v2_date_exited_13772274 BETWEEN '2026-01-01' AND '2026-12-31'</t>
  </si>
  <si>
    <t xml:space="preserve">hs_v2_date_exited_13772280</t>
  </si>
  <si>
    <t xml:space="preserve">Date exited "Identified (SealSQ Services)"</t>
  </si>
  <si>
    <t xml:space="preserve">Datetime the deal exited stage 'Identified', pipeline 'SealSQ Services'</t>
  </si>
  <si>
    <t xml:space="preserve">Which deals exited Identified (SealSQ Services) this year?</t>
  </si>
  <si>
    <t xml:space="preserve">SELECT dealname, hs_v2_date_exited_13772280 FROM DEAL WHERE hs_v2_date_exited_13772280 BETWEEN '2026-01-01' AND '2026-12-31'</t>
  </si>
  <si>
    <t xml:space="preserve">hs_v2_date_exited_13772281</t>
  </si>
  <si>
    <t xml:space="preserve">Date exited "Qualified (SealSQ Services)"</t>
  </si>
  <si>
    <t xml:space="preserve">Datetime the deal exited stage 'Qualified', pipeline 'SealSQ Services'</t>
  </si>
  <si>
    <t xml:space="preserve">Which deals exited Qualified (SealSQ Services) this year?</t>
  </si>
  <si>
    <t xml:space="preserve">SELECT dealname, hs_v2_date_exited_13772281 FROM DEAL WHERE hs_v2_date_exited_13772281 BETWEEN '2026-01-01' AND '2026-12-31'</t>
  </si>
  <si>
    <t xml:space="preserve">hs_v2_date_exited_13772282</t>
  </si>
  <si>
    <t xml:space="preserve">Date exited "Design In (SealSQ Services)"</t>
  </si>
  <si>
    <t xml:space="preserve">Datetime the deal exited stage 'Design In', pipeline 'SealSQ Services'</t>
  </si>
  <si>
    <t xml:space="preserve">Which deals exited Design In (SealSQ Services) this year?</t>
  </si>
  <si>
    <t xml:space="preserve">SELECT dealname, hs_v2_date_exited_13772282 FROM DEAL WHERE hs_v2_date_exited_13772282 BETWEEN '2026-01-01' AND '2026-12-31'</t>
  </si>
  <si>
    <t xml:space="preserve">hs_v2_date_exited_13772285</t>
  </si>
  <si>
    <t xml:space="preserve">Date exited "Closed Won (SealSQ Services)"</t>
  </si>
  <si>
    <t xml:space="preserve">Datetime the deal exited stage 'Closed Won', pipeline 'SealSQ Services'</t>
  </si>
  <si>
    <t xml:space="preserve">Which deals exited Closed Won (SealSQ Services) this year?</t>
  </si>
  <si>
    <t xml:space="preserve">SELECT dealname, hs_v2_date_exited_13772285 FROM DEAL WHERE hs_v2_date_exited_13772285 BETWEEN '2026-01-01' AND '2026-12-31'</t>
  </si>
  <si>
    <t xml:space="preserve">hs_v2_date_exited_13772286</t>
  </si>
  <si>
    <t xml:space="preserve">Date exited "Closed Lost (SealSQ Services)"</t>
  </si>
  <si>
    <t xml:space="preserve">Datetime the deal exited stage 'Closed Lost', pipeline 'SealSQ Services'</t>
  </si>
  <si>
    <t xml:space="preserve">Which deals exited Closed Lost (SealSQ Services) this year?</t>
  </si>
  <si>
    <t xml:space="preserve">SELECT dealname, hs_v2_date_exited_13772286 FROM DEAL WHERE hs_v2_date_exited_13772286 BETWEEN '2026-01-01' AND '2026-12-31'</t>
  </si>
  <si>
    <t xml:space="preserve">hs_v2_date_exited_13772309</t>
  </si>
  <si>
    <t xml:space="preserve">Date exited "Closed Dead (SealSQ Services)"</t>
  </si>
  <si>
    <t xml:space="preserve">Datetime the deal exited stage 'Closed Dead', pipeline 'SealSQ Services'</t>
  </si>
  <si>
    <t xml:space="preserve">Which deals exited Closed Dead (SealSQ Services) this year?</t>
  </si>
  <si>
    <t xml:space="preserve">SELECT dealname, hs_v2_date_exited_13772309 FROM DEAL WHERE hs_v2_date_exited_13772309 BETWEEN '2026-01-01' AND '2026-12-31'</t>
  </si>
  <si>
    <t xml:space="preserve">hs_v2_date_exited_31868514</t>
  </si>
  <si>
    <t xml:space="preserve">Date exited "Design Win (SealSQ Services)"</t>
  </si>
  <si>
    <t xml:space="preserve">Datetime the deal exited stage 'Design Win', pipeline 'SealSQ Services'</t>
  </si>
  <si>
    <t xml:space="preserve">Which deals exited Design Win (SealSQ Services) this year?</t>
  </si>
  <si>
    <t xml:space="preserve">SELECT dealname, hs_v2_date_exited_31868514 FROM DEAL WHERE hs_v2_date_exited_31868514 BETWEEN '2026-01-01' AND '2026-12-31'</t>
  </si>
  <si>
    <t xml:space="preserve">hs_v2_date_exited_85103752</t>
  </si>
  <si>
    <t xml:space="preserve">Date exited "Identified (Wisekey Services + PKI)"</t>
  </si>
  <si>
    <t xml:space="preserve">Datetime the deal exited stage 'Identified', pipeline 'Wisekey Services + PKI'</t>
  </si>
  <si>
    <t xml:space="preserve">Which deals exited Identified (Wisekey Services + PKI) this year?</t>
  </si>
  <si>
    <t xml:space="preserve">SELECT dealname, hs_v2_date_exited_85103752 FROM DEAL WHERE hs_v2_date_exited_85103752 BETWEEN '2026-01-01' AND '2026-12-31'</t>
  </si>
  <si>
    <t xml:space="preserve">hs_v2_date_exited_85103753</t>
  </si>
  <si>
    <t xml:space="preserve">Date exited "Qualified (Wisekey Services + PKI)"</t>
  </si>
  <si>
    <t xml:space="preserve">Datetime the deal exited stage 'Qualified', pipeline 'Wisekey Services + PKI'</t>
  </si>
  <si>
    <t xml:space="preserve">Which deals exited Qualified (Wisekey Services + PKI) this year?</t>
  </si>
  <si>
    <t xml:space="preserve">SELECT dealname, hs_v2_date_exited_85103753 FROM DEAL WHERE hs_v2_date_exited_85103753 BETWEEN '2026-01-01' AND '2026-12-31'</t>
  </si>
  <si>
    <t xml:space="preserve">hs_v2_date_exited_85103754</t>
  </si>
  <si>
    <t xml:space="preserve">Date exited "Design In (Wisekey Services + PKI)"</t>
  </si>
  <si>
    <t xml:space="preserve">Datetime the deal exited stage 'Design In', pipeline 'Wisekey Services + PKI'</t>
  </si>
  <si>
    <t xml:space="preserve">Which deals exited Design In (Wisekey Services + PKI) this year?</t>
  </si>
  <si>
    <t xml:space="preserve">SELECT dealname, hs_v2_date_exited_85103754 FROM DEAL WHERE hs_v2_date_exited_85103754 BETWEEN '2026-01-01' AND '2026-12-31'</t>
  </si>
  <si>
    <t xml:space="preserve">hs_v2_date_exited_85103755</t>
  </si>
  <si>
    <t xml:space="preserve">Date exited "Design Win (Wisekey Services + PKI)"</t>
  </si>
  <si>
    <t xml:space="preserve">Datetime the deal exited stage 'Design Win', pipeline 'Wisekey Services + PKI'</t>
  </si>
  <si>
    <t xml:space="preserve">Which deals exited Design Win (Wisekey Services + PKI) this year?</t>
  </si>
  <si>
    <t xml:space="preserve">SELECT dealname, hs_v2_date_exited_85103755 FROM DEAL WHERE hs_v2_date_exited_85103755 BETWEEN '2026-01-01' AND '2026-12-31'</t>
  </si>
  <si>
    <t xml:space="preserve">hs_v2_date_exited_85103756</t>
  </si>
  <si>
    <t xml:space="preserve">Date exited "Closed Won (Wisekey Services + PKI)"</t>
  </si>
  <si>
    <t xml:space="preserve">Datetime the deal exited stage 'Closed Won', pipeline 'Wisekey Services + PKI'</t>
  </si>
  <si>
    <t xml:space="preserve">Which deals exited Closed Won (Wisekey Services + PKI) this year?</t>
  </si>
  <si>
    <t xml:space="preserve">SELECT dealname, hs_v2_date_exited_85103756 FROM DEAL WHERE hs_v2_date_exited_85103756 BETWEEN '2026-01-01' AND '2026-12-31'</t>
  </si>
  <si>
    <t xml:space="preserve">hs_v2_date_exited_85103757</t>
  </si>
  <si>
    <t xml:space="preserve">Date exited "Closed Dead (Wisekey Services + PKI)"</t>
  </si>
  <si>
    <t xml:space="preserve">Datetime the deal exited stage 'Closed Dead', pipeline 'Wisekey Services + PKI'</t>
  </si>
  <si>
    <t xml:space="preserve">Which deals exited Closed Dead (Wisekey Services + PKI) this year?</t>
  </si>
  <si>
    <t xml:space="preserve">SELECT dealname, hs_v2_date_exited_85103757 FROM DEAL WHERE hs_v2_date_exited_85103757 BETWEEN '2026-01-01' AND '2026-12-31'</t>
  </si>
  <si>
    <t xml:space="preserve">hs_v2_date_exited_85103758</t>
  </si>
  <si>
    <t xml:space="preserve">Date exited "Closed lost (Wisekey Services + PKI)"</t>
  </si>
  <si>
    <t xml:space="preserve">Datetime the deal exited stage 'Closed lost', pipeline 'Wisekey Services + PKI'</t>
  </si>
  <si>
    <t xml:space="preserve">Which deals exited Closed lost (Wisekey Services + PKI) this year?</t>
  </si>
  <si>
    <t xml:space="preserve">SELECT dealname, hs_v2_date_exited_85103758 FROM DEAL WHERE hs_v2_date_exited_85103758 BETWEEN '2026-01-01' AND '2026-12-31'</t>
  </si>
  <si>
    <t xml:space="preserve">hs_v2_latest_time_in_1031449001</t>
  </si>
  <si>
    <t xml:space="preserve">Latest time in "Identified (SEALCOIN)"</t>
  </si>
  <si>
    <t xml:space="preserve">Seconds in stage 'Identified' since last entry, pipeline 'SEALCOIN'</t>
  </si>
  <si>
    <t xml:space="preserve">latest time in stage</t>
  </si>
  <si>
    <t xml:space="preserve">Deals with the longest latest stint in Identified (SEALCOIN)?</t>
  </si>
  <si>
    <t xml:space="preserve">SELECT dealname, hs_v2_latest_time_in_1031449001 FROM DEAL WHERE hs_v2_latest_time_in_1031449001 IS NOT NULL ORDER BY hs_v2_latest_time_in_1031449001 DESC LIMIT 10</t>
  </si>
  <si>
    <t xml:space="preserve">hs_v2_latest_time_in_1031449002</t>
  </si>
  <si>
    <t xml:space="preserve">Latest time in "Qualified (SEALCOIN)"</t>
  </si>
  <si>
    <t xml:space="preserve">Seconds in stage 'Qualified' since last entry, pipeline 'SEALCOIN'</t>
  </si>
  <si>
    <t xml:space="preserve">Deals with the longest latest stint in Qualified (SEALCOIN)?</t>
  </si>
  <si>
    <t xml:space="preserve">SELECT dealname, hs_v2_latest_time_in_1031449002 FROM DEAL WHERE hs_v2_latest_time_in_1031449002 IS NOT NULL ORDER BY hs_v2_latest_time_in_1031449002 DESC LIMIT 10</t>
  </si>
  <si>
    <t xml:space="preserve">hs_v2_latest_time_in_1031449003</t>
  </si>
  <si>
    <t xml:space="preserve">Latest time in "Design In (SEALCOIN)"</t>
  </si>
  <si>
    <t xml:space="preserve">Seconds in stage 'Design In' since last entry, pipeline 'SEALCOIN'</t>
  </si>
  <si>
    <t xml:space="preserve">Deals with the longest latest stint in Design In (SEALCOIN)?</t>
  </si>
  <si>
    <t xml:space="preserve">SELECT dealname, hs_v2_latest_time_in_1031449003 FROM DEAL WHERE hs_v2_latest_time_in_1031449003 IS NOT NULL ORDER BY hs_v2_latest_time_in_1031449003 DESC LIMIT 10</t>
  </si>
  <si>
    <t xml:space="preserve">hs_v2_latest_time_in_1031449004</t>
  </si>
  <si>
    <t xml:space="preserve">Latest time in "Design Win (SEALCOIN)"</t>
  </si>
  <si>
    <t xml:space="preserve">Seconds in stage 'Design Win' since last entry, pipeline 'SEALCOIN'</t>
  </si>
  <si>
    <t xml:space="preserve">Deals with the longest latest stint in Design Win (SEALCOIN)?</t>
  </si>
  <si>
    <t xml:space="preserve">SELECT dealname, hs_v2_latest_time_in_1031449004 FROM DEAL WHERE hs_v2_latest_time_in_1031449004 IS NOT NULL ORDER BY hs_v2_latest_time_in_1031449004 DESC LIMIT 10</t>
  </si>
  <si>
    <t xml:space="preserve">hs_v2_latest_time_in_1031449005</t>
  </si>
  <si>
    <t xml:space="preserve">Latest time in "Closed Won (SEALCOIN)"</t>
  </si>
  <si>
    <t xml:space="preserve">Seconds in stage 'Closed Won' since last entry, pipeline 'SEALCOIN'</t>
  </si>
  <si>
    <t xml:space="preserve">Deals with the longest latest stint in Closed Won (SEALCOIN)?</t>
  </si>
  <si>
    <t xml:space="preserve">SELECT dealname, hs_v2_latest_time_in_1031449005 FROM DEAL WHERE hs_v2_latest_time_in_1031449005 IS NOT NULL ORDER BY hs_v2_latest_time_in_1031449005 DESC LIMIT 10</t>
  </si>
  <si>
    <t xml:space="preserve">hs_v2_latest_time_in_1031449006</t>
  </si>
  <si>
    <t xml:space="preserve">Latest time in "Closed Lost (SEALCOIN)"</t>
  </si>
  <si>
    <t xml:space="preserve">Seconds in stage 'Closed Lost' since last entry, pipeline 'SEALCOIN'</t>
  </si>
  <si>
    <t xml:space="preserve">Deals with the longest latest stint in Closed Lost (SEALCOIN)?</t>
  </si>
  <si>
    <t xml:space="preserve">SELECT dealname, hs_v2_latest_time_in_1031449006 FROM DEAL WHERE hs_v2_latest_time_in_1031449006 IS NOT NULL ORDER BY hs_v2_latest_time_in_1031449006 DESC LIMIT 10</t>
  </si>
  <si>
    <t xml:space="preserve">hs_v2_latest_time_in_1116419644</t>
  </si>
  <si>
    <t xml:space="preserve">Latest time in "Identified (Icalps_hardware)"</t>
  </si>
  <si>
    <t xml:space="preserve">Seconds in stage 'Identified' since last entry, pipeline 'Icalps_hardware'</t>
  </si>
  <si>
    <t xml:space="preserve">Deals with the longest latest stint in Identified (Icalps_hardware)?</t>
  </si>
  <si>
    <t xml:space="preserve">SELECT dealname, hs_v2_latest_time_in_1116419644 FROM DEAL WHERE hs_v2_latest_time_in_1116419644 IS NOT NULL ORDER BY hs_v2_latest_time_in_1116419644 DESC LIMIT 10</t>
  </si>
  <si>
    <t xml:space="preserve">hs_v2_latest_time_in_1116419645</t>
  </si>
  <si>
    <t xml:space="preserve">Latest time in "Qualified (Icalps_hardware)"</t>
  </si>
  <si>
    <t xml:space="preserve">Seconds in stage 'Qualified' since last entry, pipeline 'Icalps_hardware'</t>
  </si>
  <si>
    <t xml:space="preserve">Deals with the longest latest stint in Qualified (Icalps_hardware)?</t>
  </si>
  <si>
    <t xml:space="preserve">SELECT dealname, hs_v2_latest_time_in_1116419645 FROM DEAL WHERE hs_v2_latest_time_in_1116419645 IS NOT NULL ORDER BY hs_v2_latest_time_in_1116419645 DESC LIMIT 10</t>
  </si>
  <si>
    <t xml:space="preserve">hs_v2_latest_time_in_1116419646</t>
  </si>
  <si>
    <t xml:space="preserve">Latest time in "Design In (Icalps_hardware)"</t>
  </si>
  <si>
    <t xml:space="preserve">Seconds in stage 'Design In' since last entry, pipeline 'Icalps_hardware'</t>
  </si>
  <si>
    <t xml:space="preserve">Deals with the longest latest stint in Design In (Icalps_hardware)?</t>
  </si>
  <si>
    <t xml:space="preserve">SELECT dealname, hs_v2_latest_time_in_1116419646 FROM DEAL WHERE hs_v2_latest_time_in_1116419646 IS NOT NULL ORDER BY hs_v2_latest_time_in_1116419646 DESC LIMIT 10</t>
  </si>
  <si>
    <t xml:space="preserve">hs_v2_latest_time_in_1116419647</t>
  </si>
  <si>
    <t xml:space="preserve">Latest time in "Design Win (Icalps_hardware)"</t>
  </si>
  <si>
    <t xml:space="preserve">Seconds in stage 'Design Win' since last entry, pipeline 'Icalps_hardware'</t>
  </si>
  <si>
    <t xml:space="preserve">Deals with the longest latest stint in Design Win (Icalps_hardware)?</t>
  </si>
  <si>
    <t xml:space="preserve">SELECT dealname, hs_v2_latest_time_in_1116419647 FROM DEAL WHERE hs_v2_latest_time_in_1116419647 IS NOT NULL ORDER BY hs_v2_latest_time_in_1116419647 DESC LIMIT 10</t>
  </si>
  <si>
    <t xml:space="preserve">hs_v2_latest_time_in_1116419649</t>
  </si>
  <si>
    <t xml:space="preserve">Latest time in "Closed Won (Icalps_hardware)"</t>
  </si>
  <si>
    <t xml:space="preserve">Seconds in stage 'Closed Won' since last entry, pipeline 'Icalps_hardware'</t>
  </si>
  <si>
    <t xml:space="preserve">Deals with the longest latest stint in Closed Won (Icalps_hardware)?</t>
  </si>
  <si>
    <t xml:space="preserve">SELECT dealname, hs_v2_latest_time_in_1116419649 FROM DEAL WHERE hs_v2_latest_time_in_1116419649 IS NOT NULL ORDER BY hs_v2_latest_time_in_1116419649 DESC LIMIT 10</t>
  </si>
  <si>
    <t xml:space="preserve">hs_v2_latest_time_in_1116419650</t>
  </si>
  <si>
    <t xml:space="preserve">Latest time in "Closed Dead (Icalps_hardware)"</t>
  </si>
  <si>
    <t xml:space="preserve">Seconds in stage 'Closed Dead' since last entry, pipeline 'Icalps_hardware'</t>
  </si>
  <si>
    <t xml:space="preserve">Deals with the longest latest stint in Closed Dead (Icalps_hardware)?</t>
  </si>
  <si>
    <t xml:space="preserve">SELECT dealname, hs_v2_latest_time_in_1116419650 FROM DEAL WHERE hs_v2_latest_time_in_1116419650 IS NOT NULL ORDER BY hs_v2_latest_time_in_1116419650 DESC LIMIT 10</t>
  </si>
  <si>
    <t xml:space="preserve">hs_v2_latest_time_in_1116652341</t>
  </si>
  <si>
    <t xml:space="preserve">Latest time in "On-Hold (Icalps_hardware)"</t>
  </si>
  <si>
    <t xml:space="preserve">Seconds in stage 'On-Hold' since last entry, pipeline 'Icalps_hardware'</t>
  </si>
  <si>
    <t xml:space="preserve">Deals with the longest latest stint in On-Hold (Icalps_hardware)?</t>
  </si>
  <si>
    <t xml:space="preserve">SELECT dealname, hs_v2_latest_time_in_1116652341 FROM DEAL WHERE hs_v2_latest_time_in_1116652341 IS NOT NULL ORDER BY hs_v2_latest_time_in_1116652341 DESC LIMIT 10</t>
  </si>
  <si>
    <t xml:space="preserve">hs_v2_latest_time_in_12096409</t>
  </si>
  <si>
    <t xml:space="preserve">Latest time in "Identified (SealSQ Hardware)"</t>
  </si>
  <si>
    <t xml:space="preserve">Seconds in stage 'Identified' since last entry, pipeline 'SealSQ Hardware'</t>
  </si>
  <si>
    <t xml:space="preserve">Deals with the longest latest stint in Identified (SealSQ Hardware)?</t>
  </si>
  <si>
    <t xml:space="preserve">SELECT dealname, hs_v2_latest_time_in_12096409 FROM DEAL WHERE hs_v2_latest_time_in_12096409 IS NOT NULL ORDER BY hs_v2_latest_time_in_12096409 DESC LIMIT 10</t>
  </si>
  <si>
    <t xml:space="preserve">hs_v2_latest_time_in_12096410</t>
  </si>
  <si>
    <t xml:space="preserve">Latest time in "Qualified (SealSQ Hardware)"</t>
  </si>
  <si>
    <t xml:space="preserve">Seconds in stage 'Qualified' since last entry, pipeline 'SealSQ Hardware'</t>
  </si>
  <si>
    <t xml:space="preserve">Deals with the longest latest stint in Qualified (SealSQ Hardware)?</t>
  </si>
  <si>
    <t xml:space="preserve">SELECT dealname, hs_v2_latest_time_in_12096410 FROM DEAL WHERE hs_v2_latest_time_in_12096410 IS NOT NULL ORDER BY hs_v2_latest_time_in_12096410 DESC LIMIT 10</t>
  </si>
  <si>
    <t xml:space="preserve">hs_v2_latest_time_in_12096411</t>
  </si>
  <si>
    <t xml:space="preserve">Latest time in "Design In (SealSQ Hardware)"</t>
  </si>
  <si>
    <t xml:space="preserve">Seconds in stage 'Design In' since last entry, pipeline 'SealSQ Hardware'</t>
  </si>
  <si>
    <t xml:space="preserve">Deals with the longest latest stint in Design In (SealSQ Hardware)?</t>
  </si>
  <si>
    <t xml:space="preserve">SELECT dealname, hs_v2_latest_time_in_12096411 FROM DEAL WHERE hs_v2_latest_time_in_12096411 IS NOT NULL ORDER BY hs_v2_latest_time_in_12096411 DESC LIMIT 10</t>
  </si>
  <si>
    <t xml:space="preserve">hs_v2_latest_time_in_12096412</t>
  </si>
  <si>
    <t xml:space="preserve">Latest time in "Design Win (SealSQ Hardware)"</t>
  </si>
  <si>
    <t xml:space="preserve">Seconds in stage 'Design Win' since last entry, pipeline 'SealSQ Hardware'</t>
  </si>
  <si>
    <t xml:space="preserve">Deals with the longest latest stint in Design Win (SealSQ Hardware)?</t>
  </si>
  <si>
    <t xml:space="preserve">SELECT dealname, hs_v2_latest_time_in_12096412 FROM DEAL WHERE hs_v2_latest_time_in_12096412 IS NOT NULL ORDER BY hs_v2_latest_time_in_12096412 DESC LIMIT 10</t>
  </si>
  <si>
    <t xml:space="preserve">hs_v2_latest_time_in_12096415</t>
  </si>
  <si>
    <t xml:space="preserve">Latest time in "Closed Lost (SealSQ Hardware)"</t>
  </si>
  <si>
    <t xml:space="preserve">Seconds in stage 'Closed Lost' since last entry, pipeline 'SealSQ Hardware'</t>
  </si>
  <si>
    <t xml:space="preserve">Deals with the longest latest stint in Closed Lost (SealSQ Hardware)?</t>
  </si>
  <si>
    <t xml:space="preserve">SELECT dealname, hs_v2_latest_time_in_12096415 FROM DEAL WHERE hs_v2_latest_time_in_12096415 IS NOT NULL ORDER BY hs_v2_latest_time_in_12096415 DESC LIMIT 10</t>
  </si>
  <si>
    <t xml:space="preserve">hs_v2_latest_time_in_12096869</t>
  </si>
  <si>
    <t xml:space="preserve">Latest time in "Closed Won (SealSQ Hardware)"</t>
  </si>
  <si>
    <t xml:space="preserve">Seconds in stage 'Closed Won' since last entry, pipeline 'SealSQ Hardware'</t>
  </si>
  <si>
    <t xml:space="preserve">Deals with the longest latest stint in Closed Won (SealSQ Hardware)?</t>
  </si>
  <si>
    <t xml:space="preserve">SELECT dealname, hs_v2_latest_time_in_12096869 FROM DEAL WHERE hs_v2_latest_time_in_12096869 IS NOT NULL ORDER BY hs_v2_latest_time_in_12096869 DESC LIMIT 10</t>
  </si>
  <si>
    <t xml:space="preserve">hs_v2_latest_time_in_1311252059</t>
  </si>
  <si>
    <t xml:space="preserve">Latest time in "Identified (Wise.Sat)"</t>
  </si>
  <si>
    <t xml:space="preserve">Seconds in stage 'Identified' since last entry, pipeline 'Wise.Sat'</t>
  </si>
  <si>
    <t xml:space="preserve">Deals with the longest latest stint in Identified (Wise.Sat)?</t>
  </si>
  <si>
    <t xml:space="preserve">SELECT dealname, hs_v2_latest_time_in_1311252059 FROM DEAL WHERE hs_v2_latest_time_in_1311252059 IS NOT NULL ORDER BY hs_v2_latest_time_in_1311252059 DESC LIMIT 10</t>
  </si>
  <si>
    <t xml:space="preserve">hs_v2_latest_time_in_1311252060</t>
  </si>
  <si>
    <t xml:space="preserve">Latest time in "Qualified (Wise.Sat)"</t>
  </si>
  <si>
    <t xml:space="preserve">Seconds in stage 'Qualified' since last entry, pipeline 'Wise.Sat'</t>
  </si>
  <si>
    <t xml:space="preserve">Deals with the longest latest stint in Qualified (Wise.Sat)?</t>
  </si>
  <si>
    <t xml:space="preserve">SELECT dealname, hs_v2_latest_time_in_1311252060 FROM DEAL WHERE hs_v2_latest_time_in_1311252060 IS NOT NULL ORDER BY hs_v2_latest_time_in_1311252060 DESC LIMIT 10</t>
  </si>
  <si>
    <t xml:space="preserve">hs_v2_latest_time_in_1311252061</t>
  </si>
  <si>
    <t xml:space="preserve">Latest time in "Design In (Wise.Sat)"</t>
  </si>
  <si>
    <t xml:space="preserve">Seconds in stage 'Design In' since last entry, pipeline 'Wise.Sat'</t>
  </si>
  <si>
    <t xml:space="preserve">Deals with the longest latest stint in Design In (Wise.Sat)?</t>
  </si>
  <si>
    <t xml:space="preserve">SELECT dealname, hs_v2_latest_time_in_1311252061 FROM DEAL WHERE hs_v2_latest_time_in_1311252061 IS NOT NULL ORDER BY hs_v2_latest_time_in_1311252061 DESC LIMIT 10</t>
  </si>
  <si>
    <t xml:space="preserve">hs_v2_latest_time_in_1311252062</t>
  </si>
  <si>
    <t xml:space="preserve">Latest time in "Design Win (Wise.Sat)"</t>
  </si>
  <si>
    <t xml:space="preserve">Seconds in stage 'Design Win' since last entry, pipeline 'Wise.Sat'</t>
  </si>
  <si>
    <t xml:space="preserve">Deals with the longest latest stint in Design Win (Wise.Sat)?</t>
  </si>
  <si>
    <t xml:space="preserve">SELECT dealname, hs_v2_latest_time_in_1311252062 FROM DEAL WHERE hs_v2_latest_time_in_1311252062 IS NOT NULL ORDER BY hs_v2_latest_time_in_1311252062 DESC LIMIT 10</t>
  </si>
  <si>
    <t xml:space="preserve">hs_v2_latest_time_in_1311252063</t>
  </si>
  <si>
    <t xml:space="preserve">Latest time in "Closed Won (Wise.Sat)"</t>
  </si>
  <si>
    <t xml:space="preserve">Seconds in stage 'Closed Won' since last entry, pipeline 'Wise.Sat'</t>
  </si>
  <si>
    <t xml:space="preserve">Deals with the longest latest stint in Closed Won (Wise.Sat)?</t>
  </si>
  <si>
    <t xml:space="preserve">SELECT dealname, hs_v2_latest_time_in_1311252063 FROM DEAL WHERE hs_v2_latest_time_in_1311252063 IS NOT NULL ORDER BY hs_v2_latest_time_in_1311252063 DESC LIMIT 10</t>
  </si>
  <si>
    <t xml:space="preserve">hs_v2_latest_time_in_1311252064</t>
  </si>
  <si>
    <t xml:space="preserve">Latest time in "Closed Dead (Wise.Sat)"</t>
  </si>
  <si>
    <t xml:space="preserve">Seconds in stage 'Closed Dead' since last entry, pipeline 'Wise.Sat'</t>
  </si>
  <si>
    <t xml:space="preserve">Deals with the longest latest stint in Closed Dead (Wise.Sat)?</t>
  </si>
  <si>
    <t xml:space="preserve">SELECT dealname, hs_v2_latest_time_in_1311252064 FROM DEAL WHERE hs_v2_latest_time_in_1311252064 IS NOT NULL ORDER BY hs_v2_latest_time_in_1311252064 DESC LIMIT 10</t>
  </si>
  <si>
    <t xml:space="preserve">hs_v2_latest_time_in_1311252065</t>
  </si>
  <si>
    <t xml:space="preserve">Latest time in "Closed lost (Wise.Sat)"</t>
  </si>
  <si>
    <t xml:space="preserve">Seconds in stage 'Closed lost' since last entry, pipeline 'Wise.Sat'</t>
  </si>
  <si>
    <t xml:space="preserve">Deals with the longest latest stint in Closed lost (Wise.Sat)?</t>
  </si>
  <si>
    <t xml:space="preserve">SELECT dealname, hs_v2_latest_time_in_1311252065 FROM DEAL WHERE hs_v2_latest_time_in_1311252065 IS NOT NULL ORDER BY hs_v2_latest_time_in_1311252065 DESC LIMIT 10</t>
  </si>
  <si>
    <t xml:space="preserve">hs_v2_latest_time_in_1313738265</t>
  </si>
  <si>
    <t xml:space="preserve">Latest time in "Closed Lost (Icalps_hardware)"</t>
  </si>
  <si>
    <t xml:space="preserve">Seconds in stage 'Closed Lost' since last entry, pipeline 'Icalps_hardware'</t>
  </si>
  <si>
    <t xml:space="preserve">Deals with the longest latest stint in Closed Lost (Icalps_hardware)?</t>
  </si>
  <si>
    <t xml:space="preserve">SELECT dealname, hs_v2_latest_time_in_1313738265 FROM DEAL WHERE hs_v2_latest_time_in_1313738265 IS NOT NULL ORDER BY hs_v2_latest_time_in_1313738265 DESC LIMIT 10</t>
  </si>
  <si>
    <t xml:space="preserve">hs_v2_latest_time_in_13772274</t>
  </si>
  <si>
    <t xml:space="preserve">Latest time in "Closed Dead (SealSQ Hardware)"</t>
  </si>
  <si>
    <t xml:space="preserve">Seconds in stage 'Closed Dead' since last entry, pipeline 'SealSQ Hardware'</t>
  </si>
  <si>
    <t xml:space="preserve">Deals with the longest latest stint in Closed Dead (SealSQ Hardware)?</t>
  </si>
  <si>
    <t xml:space="preserve">SELECT dealname, hs_v2_latest_time_in_13772274 FROM DEAL WHERE hs_v2_latest_time_in_13772274 IS NOT NULL ORDER BY hs_v2_latest_time_in_13772274 DESC LIMIT 10</t>
  </si>
  <si>
    <t xml:space="preserve">hs_v2_latest_time_in_13772280</t>
  </si>
  <si>
    <t xml:space="preserve">Latest time in "Identified (SealSQ Services)"</t>
  </si>
  <si>
    <t xml:space="preserve">Seconds in stage 'Identified' since last entry, pipeline 'SealSQ Services'</t>
  </si>
  <si>
    <t xml:space="preserve">Deals with the longest latest stint in Identified (SealSQ Services)?</t>
  </si>
  <si>
    <t xml:space="preserve">SELECT dealname, hs_v2_latest_time_in_13772280 FROM DEAL WHERE hs_v2_latest_time_in_13772280 IS NOT NULL ORDER BY hs_v2_latest_time_in_13772280 DESC LIMIT 10</t>
  </si>
  <si>
    <t xml:space="preserve">hs_v2_latest_time_in_13772281</t>
  </si>
  <si>
    <t xml:space="preserve">Latest time in "Qualified (SealSQ Services)"</t>
  </si>
  <si>
    <t xml:space="preserve">Seconds in stage 'Qualified' since last entry, pipeline 'SealSQ Services'</t>
  </si>
  <si>
    <t xml:space="preserve">Deals with the longest latest stint in Qualified (SealSQ Services)?</t>
  </si>
  <si>
    <t xml:space="preserve">SELECT dealname, hs_v2_latest_time_in_13772281 FROM DEAL WHERE hs_v2_latest_time_in_13772281 IS NOT NULL ORDER BY hs_v2_latest_time_in_13772281 DESC LIMIT 10</t>
  </si>
  <si>
    <t xml:space="preserve">hs_v2_latest_time_in_13772282</t>
  </si>
  <si>
    <t xml:space="preserve">Latest time in "Design In (SealSQ Services)"</t>
  </si>
  <si>
    <t xml:space="preserve">Seconds in stage 'Design In' since last entry, pipeline 'SealSQ Services'</t>
  </si>
  <si>
    <t xml:space="preserve">Deals with the longest latest stint in Design In (SealSQ Services)?</t>
  </si>
  <si>
    <t xml:space="preserve">SELECT dealname, hs_v2_latest_time_in_13772282 FROM DEAL WHERE hs_v2_latest_time_in_13772282 IS NOT NULL ORDER BY hs_v2_latest_time_in_13772282 DESC LIMIT 10</t>
  </si>
  <si>
    <t xml:space="preserve">hs_v2_latest_time_in_13772285</t>
  </si>
  <si>
    <t xml:space="preserve">Latest time in "Closed Won (SealSQ Services)"</t>
  </si>
  <si>
    <t xml:space="preserve">Seconds in stage 'Closed Won' since last entry, pipeline 'SealSQ Services'</t>
  </si>
  <si>
    <t xml:space="preserve">Deals with the longest latest stint in Closed Won (SealSQ Services)?</t>
  </si>
  <si>
    <t xml:space="preserve">SELECT dealname, hs_v2_latest_time_in_13772285 FROM DEAL WHERE hs_v2_latest_time_in_13772285 IS NOT NULL ORDER BY hs_v2_latest_time_in_13772285 DESC LIMIT 10</t>
  </si>
  <si>
    <t xml:space="preserve">hs_v2_latest_time_in_13772286</t>
  </si>
  <si>
    <t xml:space="preserve">Latest time in "Closed Lost (SealSQ Services)"</t>
  </si>
  <si>
    <t xml:space="preserve">Seconds in stage 'Closed Lost' since last entry, pipeline 'SealSQ Services'</t>
  </si>
  <si>
    <t xml:space="preserve">Deals with the longest latest stint in Closed Lost (SealSQ Services)?</t>
  </si>
  <si>
    <t xml:space="preserve">SELECT dealname, hs_v2_latest_time_in_13772286 FROM DEAL WHERE hs_v2_latest_time_in_13772286 IS NOT NULL ORDER BY hs_v2_latest_time_in_13772286 DESC LIMIT 10</t>
  </si>
  <si>
    <t xml:space="preserve">hs_v2_latest_time_in_13772309</t>
  </si>
  <si>
    <t xml:space="preserve">Latest time in "Closed Dead (SealSQ Services)"</t>
  </si>
  <si>
    <t xml:space="preserve">Seconds in stage 'Closed Dead' since last entry, pipeline 'SealSQ Services'</t>
  </si>
  <si>
    <t xml:space="preserve">Deals with the longest latest stint in Closed Dead (SealSQ Services)?</t>
  </si>
  <si>
    <t xml:space="preserve">SELECT dealname, hs_v2_latest_time_in_13772309 FROM DEAL WHERE hs_v2_latest_time_in_13772309 IS NOT NULL ORDER BY hs_v2_latest_time_in_13772309 DESC LIMIT 10</t>
  </si>
  <si>
    <t xml:space="preserve">hs_v2_latest_time_in_31868514</t>
  </si>
  <si>
    <t xml:space="preserve">Latest time in "Design Win (SealSQ Services)"</t>
  </si>
  <si>
    <t xml:space="preserve">Seconds in stage 'Design Win' since last entry, pipeline 'SealSQ Services'</t>
  </si>
  <si>
    <t xml:space="preserve">Deals with the longest latest stint in Design Win (SealSQ Services)?</t>
  </si>
  <si>
    <t xml:space="preserve">SELECT dealname, hs_v2_latest_time_in_31868514 FROM DEAL WHERE hs_v2_latest_time_in_31868514 IS NOT NULL ORDER BY hs_v2_latest_time_in_31868514 DESC LIMIT 10</t>
  </si>
  <si>
    <t xml:space="preserve">hs_v2_latest_time_in_85103752</t>
  </si>
  <si>
    <t xml:space="preserve">Latest time in "Identified (Wisekey Services + PKI)"</t>
  </si>
  <si>
    <t xml:space="preserve">Seconds in stage 'Identified' since last entry, pipeline 'Wisekey Services + PKI'</t>
  </si>
  <si>
    <t xml:space="preserve">Deals with the longest latest stint in Identified (Wisekey Services + PKI)?</t>
  </si>
  <si>
    <t xml:space="preserve">SELECT dealname, hs_v2_latest_time_in_85103752 FROM DEAL WHERE hs_v2_latest_time_in_85103752 IS NOT NULL ORDER BY hs_v2_latest_time_in_85103752 DESC LIMIT 10</t>
  </si>
  <si>
    <t xml:space="preserve">hs_v2_latest_time_in_85103753</t>
  </si>
  <si>
    <t xml:space="preserve">Latest time in "Qualified (Wisekey Services + PKI)"</t>
  </si>
  <si>
    <t xml:space="preserve">Seconds in stage 'Qualified' since last entry, pipeline 'Wisekey Services + PKI'</t>
  </si>
  <si>
    <t xml:space="preserve">Deals with the longest latest stint in Qualified (Wisekey Services + PKI)?</t>
  </si>
  <si>
    <t xml:space="preserve">SELECT dealname, hs_v2_latest_time_in_85103753 FROM DEAL WHERE hs_v2_latest_time_in_85103753 IS NOT NULL ORDER BY hs_v2_latest_time_in_85103753 DESC LIMIT 10</t>
  </si>
  <si>
    <t xml:space="preserve">hs_v2_latest_time_in_85103754</t>
  </si>
  <si>
    <t xml:space="preserve">Latest time in "Design In (Wisekey Services + PKI)"</t>
  </si>
  <si>
    <t xml:space="preserve">Seconds in stage 'Design In' since last entry, pipeline 'Wisekey Services + PKI'</t>
  </si>
  <si>
    <t xml:space="preserve">Deals with the longest latest stint in Design In (Wisekey Services + PKI)?</t>
  </si>
  <si>
    <t xml:space="preserve">SELECT dealname, hs_v2_latest_time_in_85103754 FROM DEAL WHERE hs_v2_latest_time_in_85103754 IS NOT NULL ORDER BY hs_v2_latest_time_in_85103754 DESC LIMIT 10</t>
  </si>
  <si>
    <t xml:space="preserve">hs_v2_latest_time_in_85103755</t>
  </si>
  <si>
    <t xml:space="preserve">Latest time in "Design Win (Wisekey Services + PKI)"</t>
  </si>
  <si>
    <t xml:space="preserve">Seconds in stage 'Design Win' since last entry, pipeline 'Wisekey Services + PKI'</t>
  </si>
  <si>
    <t xml:space="preserve">Deals with the longest latest stint in Design Win (Wisekey Services + PKI)?</t>
  </si>
  <si>
    <t xml:space="preserve">SELECT dealname, hs_v2_latest_time_in_85103755 FROM DEAL WHERE hs_v2_latest_time_in_85103755 IS NOT NULL ORDER BY hs_v2_latest_time_in_85103755 DESC LIMIT 10</t>
  </si>
  <si>
    <t xml:space="preserve">hs_v2_latest_time_in_85103756</t>
  </si>
  <si>
    <t xml:space="preserve">Latest time in "Closed Won (Wisekey Services + PKI)"</t>
  </si>
  <si>
    <t xml:space="preserve">Seconds in stage 'Closed Won' since last entry, pipeline 'Wisekey Services + PKI'</t>
  </si>
  <si>
    <t xml:space="preserve">Deals with the longest latest stint in Closed Won (Wisekey Services + PKI)?</t>
  </si>
  <si>
    <t xml:space="preserve">SELECT dealname, hs_v2_latest_time_in_85103756 FROM DEAL WHERE hs_v2_latest_time_in_85103756 IS NOT NULL ORDER BY hs_v2_latest_time_in_85103756 DESC LIMIT 10</t>
  </si>
  <si>
    <t xml:space="preserve">hs_v2_latest_time_in_85103757</t>
  </si>
  <si>
    <t xml:space="preserve">Latest time in "Closed Dead (Wisekey Services + PKI)"</t>
  </si>
  <si>
    <t xml:space="preserve">Seconds in stage 'Closed Dead' since last entry, pipeline 'Wisekey Services + PKI'</t>
  </si>
  <si>
    <t xml:space="preserve">Deals with the longest latest stint in Closed Dead (Wisekey Services + PKI)?</t>
  </si>
  <si>
    <t xml:space="preserve">SELECT dealname, hs_v2_latest_time_in_85103757 FROM DEAL WHERE hs_v2_latest_time_in_85103757 IS NOT NULL ORDER BY hs_v2_latest_time_in_85103757 DESC LIMIT 10</t>
  </si>
  <si>
    <t xml:space="preserve">hs_v2_latest_time_in_85103758</t>
  </si>
  <si>
    <t xml:space="preserve">Latest time in "Closed lost (Wisekey Services + PKI)"</t>
  </si>
  <si>
    <t xml:space="preserve">Seconds in stage 'Closed lost' since last entry, pipeline 'Wisekey Services + PKI'</t>
  </si>
  <si>
    <t xml:space="preserve">Deals with the longest latest stint in Closed lost (Wisekey Services + PKI)?</t>
  </si>
  <si>
    <t xml:space="preserve">SELECT dealname, hs_v2_latest_time_in_85103758 FROM DEAL WHERE hs_v2_latest_time_in_85103758 IS NOT NULL ORDER BY hs_v2_latest_time_in_85103758 DESC LIMIT 10</t>
  </si>
  <si>
    <t xml:space="preserve">hs_v2_time_in_current_stage</t>
  </si>
  <si>
    <t xml:space="preserve">Time in current stage</t>
  </si>
  <si>
    <t xml:space="preserve">time in stage, aging, sitting, days in stage</t>
  </si>
  <si>
    <t xml:space="preserve">Which deals have been sitting in their stage the longest?</t>
  </si>
  <si>
    <t xml:space="preserve">SELECT dealname, dealstage, hs_v2_date_entered_current_stage FROM DEAL WHERE hs_is_closed = false ORDER BY hs_v2_date_entered_current_stage ASC LIMIT 20</t>
  </si>
  <si>
    <t xml:space="preserve">calculation___cumulative_pipeline_2021</t>
  </si>
  <si>
    <t xml:space="preserve">Wk Amount ($)</t>
  </si>
  <si>
    <t xml:space="preserve">System / analytics</t>
  </si>
  <si>
    <t xml:space="preserve">RECYCLED: label 'Wk Amount ($)' has nothing to do with internal name</t>
  </si>
  <si>
    <t xml:space="preserve">wk amount ($)</t>
  </si>
  <si>
    <t xml:space="preserve">What is the total / average Wk Amount ($)?</t>
  </si>
  <si>
    <t xml:space="preserve">SELECT SUM(calculation___cumulative_pipeline_2021), AVG(calculation___cumulative_pipeline_2021) FROM DEAL WHERE calculation___cumulative_pipeline_2021 IS NOT NULL</t>
  </si>
  <si>
    <t xml:space="preserve">hs_analytics_latest_source</t>
  </si>
  <si>
    <t xml:space="preserve">Latest Traffic Source</t>
  </si>
  <si>
    <t xml:space="preserve">latest traffic source</t>
  </si>
  <si>
    <t xml:space="preserve">Deals where Latest Traffic Source contains a keyword?</t>
  </si>
  <si>
    <t xml:space="preserve">SELECT dealname, hs_analytics_latest_source FROM DEAL WHERE hs_analytics_latest_source LIKE '%keyword%'</t>
  </si>
  <si>
    <t xml:space="preserve">hs_analytics_latest_source_data_1</t>
  </si>
  <si>
    <t xml:space="preserve">Latest Traffic Source Data 1</t>
  </si>
  <si>
    <t xml:space="preserve">latest traffic source data 1</t>
  </si>
  <si>
    <t xml:space="preserve">Deals where Latest Traffic Source Data 1 contains a keyword?</t>
  </si>
  <si>
    <t xml:space="preserve">SELECT dealname, hs_analytics_latest_source_data_1 FROM DEAL WHERE hs_analytics_latest_source_data_1 LIKE '%keyword%'</t>
  </si>
  <si>
    <t xml:space="preserve">hs_analytics_latest_source_data_2</t>
  </si>
  <si>
    <t xml:space="preserve">Latest Traffic Source Data 2</t>
  </si>
  <si>
    <t xml:space="preserve">latest traffic source data 2</t>
  </si>
  <si>
    <t xml:space="preserve">Deals where Latest Traffic Source Data 2 contains a keyword?</t>
  </si>
  <si>
    <t xml:space="preserve">SELECT dealname, hs_analytics_latest_source_data_2 FROM DEAL WHERE hs_analytics_latest_source_data_2 LIKE '%keyword%'</t>
  </si>
  <si>
    <t xml:space="preserve">hs_analytics_latest_source_timestamp</t>
  </si>
  <si>
    <t xml:space="preserve">Latest Traffic Source Timestamp</t>
  </si>
  <si>
    <t xml:space="preserve">latest traffic source timestamp</t>
  </si>
  <si>
    <t xml:space="preserve">Deals where Latest Traffic Source Timestamp falls in 2026?</t>
  </si>
  <si>
    <t xml:space="preserve">SELECT dealname, hs_analytics_latest_source_timestamp FROM DEAL WHERE hs_analytics_latest_source_timestamp BETWEEN '2026-01-01' AND '2026-12-31'</t>
  </si>
  <si>
    <t xml:space="preserve">hs_analytics_source</t>
  </si>
  <si>
    <t xml:space="preserve">Original Traffic Source</t>
  </si>
  <si>
    <t xml:space="preserve">original traffic source</t>
  </si>
  <si>
    <t xml:space="preserve">Deals where Original Traffic Source contains a keyword?</t>
  </si>
  <si>
    <t xml:space="preserve">SELECT dealname, hs_analytics_source FROM DEAL WHERE hs_analytics_source LIKE '%keyword%'</t>
  </si>
  <si>
    <t xml:space="preserve">hs_analytics_source_data_1</t>
  </si>
  <si>
    <t xml:space="preserve">Original Traffic Source Drill-Down 1</t>
  </si>
  <si>
    <t xml:space="preserve">original traffic source drill-down 1</t>
  </si>
  <si>
    <t xml:space="preserve">Deals where Original Traffic Source Drill-Down 1 contains a keyword?</t>
  </si>
  <si>
    <t xml:space="preserve">SELECT dealname, hs_analytics_source_data_1 FROM DEAL WHERE hs_analytics_source_data_1 LIKE '%keyword%'</t>
  </si>
  <si>
    <t xml:space="preserve">hs_analytics_source_data_2</t>
  </si>
  <si>
    <t xml:space="preserve">Original Traffic Source Drill-Down 2</t>
  </si>
  <si>
    <t xml:space="preserve">original traffic source drill-down 2</t>
  </si>
  <si>
    <t xml:space="preserve">Deals where Original Traffic Source Drill-Down 2 contains a keyword?</t>
  </si>
  <si>
    <t xml:space="preserve">SELECT dealname, hs_analytics_source_data_2 FROM DEAL WHERE hs_analytics_source_data_2 LIKE '%keyword%'</t>
  </si>
  <si>
    <t xml:space="preserve">hs_associated_deal_registration_deal_type</t>
  </si>
  <si>
    <t xml:space="preserve">Associated Shared Deal Type</t>
  </si>
  <si>
    <t xml:space="preserve">Partner portals only</t>
  </si>
  <si>
    <t xml:space="preserve">associated shared deal type</t>
  </si>
  <si>
    <t xml:space="preserve">Deals where Associated Shared Deal Type contains a keyword?</t>
  </si>
  <si>
    <t xml:space="preserve">SELECT dealname, hs_associated_deal_registration_deal_type FROM DEAL WHERE hs_associated_deal_registration_deal_type LIKE '%keyword%'</t>
  </si>
  <si>
    <t xml:space="preserve">hs_associated_deal_registration_product_interests</t>
  </si>
  <si>
    <t xml:space="preserve">Associated Shared Deal Product Interests</t>
  </si>
  <si>
    <t xml:space="preserve">associated shared deal product interests</t>
  </si>
  <si>
    <t xml:space="preserve">Deals where Associated Shared Deal Product Interests contains a keyword?</t>
  </si>
  <si>
    <t xml:space="preserve">SELECT dealname, hs_associated_deal_registration_product_interests FROM DEAL WHERE hs_associated_deal_registration_product_interests LIKE '%keyword%'</t>
  </si>
  <si>
    <t xml:space="preserve">hs_deal_registration_mrr</t>
  </si>
  <si>
    <t xml:space="preserve">HubSpot Shared Deal MRR</t>
  </si>
  <si>
    <t xml:space="preserve">hubspot shared deal mrr</t>
  </si>
  <si>
    <t xml:space="preserve">What is the total / average HubSpot Shared Deal MRR?</t>
  </si>
  <si>
    <t xml:space="preserve">SELECT SUM(hs_deal_registration_mrr), AVG(hs_deal_registration_mrr) FROM DEAL WHERE hs_deal_registration_mrr IS NOT NULL</t>
  </si>
  <si>
    <t xml:space="preserve">hs_deal_registration_mrr_currency_code</t>
  </si>
  <si>
    <t xml:space="preserve">HubSpot Shared Deal MRR Currency Code</t>
  </si>
  <si>
    <t xml:space="preserve">hubspot shared deal mrr currency code</t>
  </si>
  <si>
    <t xml:space="preserve">What is the total / average HubSpot Shared Deal MRR Currency Code?</t>
  </si>
  <si>
    <t xml:space="preserve">SELECT SUM(hs_deal_registration_mrr_currency_code), AVG(hs_deal_registration_mrr_currency_code) FROM DEAL WHERE hs_deal_registration_mrr_currency_code IS NOT NULL</t>
  </si>
  <si>
    <t xml:space="preserve">hs_form_id</t>
  </si>
  <si>
    <t xml:space="preserve">Form ID</t>
  </si>
  <si>
    <t xml:space="preserve">form id</t>
  </si>
  <si>
    <t xml:space="preserve">Deals where Form ID contains a keyword?</t>
  </si>
  <si>
    <t xml:space="preserve">SELECT dealname, hs_form_id FROM DEAL WHERE hs_form_id LIKE '%keyword%'</t>
  </si>
  <si>
    <t xml:space="preserve">hs_is_active_shared_deal</t>
  </si>
  <si>
    <t xml:space="preserve">Is Active Shared Deal</t>
  </si>
  <si>
    <t xml:space="preserve">is active shared deal</t>
  </si>
  <si>
    <t xml:space="preserve">Inspect Is Active Shared Deal (type not fetched — verify with get_properties before filtering).</t>
  </si>
  <si>
    <t xml:space="preserve">SELECT hs_is_active_shared_deal, COUNT(*) FROM DEAL WHERE hs_is_active_shared_deal IS NOT NULL GROUP BY hs_is_active_shared_deal</t>
  </si>
  <si>
    <t xml:space="preserve">hs_merged_object_ids</t>
  </si>
  <si>
    <t xml:space="preserve">Merged Deal IDs</t>
  </si>
  <si>
    <t xml:space="preserve">merged deal ids</t>
  </si>
  <si>
    <t xml:space="preserve">Deals where Merged Deal IDs contains a keyword?</t>
  </si>
  <si>
    <t xml:space="preserve">SELECT dealname, hs_merged_object_ids FROM DEAL WHERE hs_merged_object_ids LIKE '%keyword%'</t>
  </si>
  <si>
    <t xml:space="preserve">hs_num_associated_active_deal_registrations</t>
  </si>
  <si>
    <t xml:space="preserve">Number of Active Deal Registrations</t>
  </si>
  <si>
    <t xml:space="preserve">number of active deal registrations</t>
  </si>
  <si>
    <t xml:space="preserve">What is the total / average Number of Active Deal Registrations?</t>
  </si>
  <si>
    <t xml:space="preserve">SELECT SUM(hs_num_associated_active_deal_registrations), AVG(hs_num_associated_active_deal_registrations) FROM DEAL WHERE hs_num_associated_active_deal_registrations IS NOT NULL</t>
  </si>
  <si>
    <t xml:space="preserve">hs_num_associated_deal_registrations</t>
  </si>
  <si>
    <t xml:space="preserve">Number of Deal Registrations</t>
  </si>
  <si>
    <t xml:space="preserve">number of deal registrations</t>
  </si>
  <si>
    <t xml:space="preserve">What is the total / average Number of Deal Registrations?</t>
  </si>
  <si>
    <t xml:space="preserve">SELECT SUM(hs_num_associated_deal_registrations), AVG(hs_num_associated_deal_registrations) FROM DEAL WHERE hs_num_associated_deal_registrations IS NOT NULL</t>
  </si>
  <si>
    <t xml:space="preserve">hs_object_source_detail_1</t>
  </si>
  <si>
    <t xml:space="preserve">Record source detail 1</t>
  </si>
  <si>
    <t xml:space="preserve">record source detail 1</t>
  </si>
  <si>
    <t xml:space="preserve">Deals where Record source detail 1 contains a keyword?</t>
  </si>
  <si>
    <t xml:space="preserve">SELECT dealname, hs_object_source_detail_1 FROM DEAL WHERE hs_object_source_detail_1 LIKE '%keyword%'</t>
  </si>
  <si>
    <t xml:space="preserve">hs_object_source_detail_2</t>
  </si>
  <si>
    <t xml:space="preserve">Record source detail 2</t>
  </si>
  <si>
    <t xml:space="preserve">record source detail 2</t>
  </si>
  <si>
    <t xml:space="preserve">Deals where Record source detail 2 contains a keyword?</t>
  </si>
  <si>
    <t xml:space="preserve">SELECT dealname, hs_object_source_detail_2 FROM DEAL WHERE hs_object_source_detail_2 LIKE '%keyword%'</t>
  </si>
  <si>
    <t xml:space="preserve">hs_object_source_detail_3</t>
  </si>
  <si>
    <t xml:space="preserve">Record source detail 3</t>
  </si>
  <si>
    <t xml:space="preserve">record source detail 3</t>
  </si>
  <si>
    <t xml:space="preserve">Deals where Record source detail 3 contains a keyword?</t>
  </si>
  <si>
    <t xml:space="preserve">SELECT dealname, hs_object_source_detail_3 FROM DEAL WHERE hs_object_source_detail_3 LIKE '%keyword%'</t>
  </si>
  <si>
    <t xml:space="preserve">hs_object_source_label</t>
  </si>
  <si>
    <t xml:space="preserve">Record source</t>
  </si>
  <si>
    <t xml:space="preserve">How this record was created.</t>
  </si>
  <si>
    <t xml:space="preserve">record source</t>
  </si>
  <si>
    <t xml:space="preserve">Deals where Record source contains a keyword?</t>
  </si>
  <si>
    <t xml:space="preserve">SELECT dealname, hs_object_source_label FROM DEAL WHERE hs_object_source_label LIKE '%keyword%'</t>
  </si>
  <si>
    <t xml:space="preserve">hs_partner_tech_win</t>
  </si>
  <si>
    <t xml:space="preserve">Partner Tech Win</t>
  </si>
  <si>
    <t xml:space="preserve">partner tech win</t>
  </si>
  <si>
    <t xml:space="preserve">Deals where Partner Tech Win contains a keyword?</t>
  </si>
  <si>
    <t xml:space="preserve">SELECT dealname, hs_partner_tech_win FROM DEAL WHERE hs_partner_tech_win LIKE '%keyword%'</t>
  </si>
  <si>
    <t xml:space="preserve">hs_tag_ids</t>
  </si>
  <si>
    <t xml:space="preserve">Deal Tags</t>
  </si>
  <si>
    <t xml:space="preserve">deal tags</t>
  </si>
  <si>
    <t xml:space="preserve">Deals where Deal Tags contains a keyword?</t>
  </si>
  <si>
    <t xml:space="preserve">SELECT dealname, hs_tag_ids FROM DEAL WHERE hs_tag_ids LIKE '%keyword%'</t>
  </si>
  <si>
    <t xml:space="preserve">sync_id_stc</t>
  </si>
  <si>
    <t xml:space="preserve">Sync ID</t>
  </si>
  <si>
    <t xml:space="preserve">sync id</t>
  </si>
  <si>
    <t xml:space="preserve">Deals where Sync ID contains a keyword?</t>
  </si>
  <si>
    <t xml:space="preserve">SELECT dealname, sync_id_stc FROM DEAL WHERE sync_id_stc LIKE '%keyword%'</t>
  </si>
  <si>
    <t xml:space="preserve">closed_lost_reason</t>
  </si>
  <si>
    <t xml:space="preserve">Closed Lost Reason</t>
  </si>
  <si>
    <t xml:space="preserve">Win / loss analysis</t>
  </si>
  <si>
    <t xml:space="preserve">Reason why this deal was lost</t>
  </si>
  <si>
    <t xml:space="preserve">lost reason (text)</t>
  </si>
  <si>
    <t xml:space="preserve">Free-text reasons for lost deals?</t>
  </si>
  <si>
    <t xml:space="preserve">SELECT dealname, closed_lost_reason FROM DEAL WHERE hs_is_closed_lost = true AND closed_lost_reason IS NOT NULL</t>
  </si>
  <si>
    <t xml:space="preserve">closed_won_reason</t>
  </si>
  <si>
    <t xml:space="preserve">Closed Won Reason</t>
  </si>
  <si>
    <t xml:space="preserve">Reason why this deal was won</t>
  </si>
  <si>
    <t xml:space="preserve">closed won reason</t>
  </si>
  <si>
    <t xml:space="preserve">Deals where Closed Won Reason contains a keyword?</t>
  </si>
  <si>
    <t xml:space="preserve">SELECT dealname, closed_won_reason FROM DEAL WHERE closed_won_reason LIKE '%keyword%'</t>
  </si>
  <si>
    <t xml:space="preserve">nature_of_deal_change____enter_the_date_of_change_</t>
  </si>
  <si>
    <t xml:space="preserve">Nature of deal change + (ENTER THE DATE OF CHANGE)</t>
  </si>
  <si>
    <t xml:space="preserve">Explain deal change of status with timestamp</t>
  </si>
  <si>
    <t xml:space="preserve">nature of deal change + (enter the date of change)</t>
  </si>
  <si>
    <t xml:space="preserve">Deals where Nature of deal change + (ENTER THE DATE OF CHANGE) contains a keyword?</t>
  </si>
  <si>
    <t xml:space="preserve">SELECT dealname, nature_of_deal_change____enter_the_date_of_change_ FROM DEAL WHERE nature_of_deal_change____enter_the_date_of_change_ LIKE '%keyword%'</t>
  </si>
  <si>
    <t xml:space="preserve">stratification_of_lost_deals</t>
  </si>
  <si>
    <t xml:space="preserve">Stratification of lost deals</t>
  </si>
  <si>
    <t xml:space="preserve">which category for loss</t>
  </si>
  <si>
    <t xml:space="preserve">Competition=Competition/Price Issue | No Activity | Product Issue=Competition/Product Issue | End of Life/Stale Project | Other | Unknown</t>
  </si>
  <si>
    <t xml:space="preserve">why lost, loss reason category, competition, price, no activity, end of life</t>
  </si>
  <si>
    <t xml:space="preserve">Why did we lose deals this year — by category?</t>
  </si>
  <si>
    <t xml:space="preserve">SELECT stratification_of_lost_deals, COUNT(*) FROM DEAL WHERE hs_is_closed_lost = true AND closedate BETWEEN '2026-01-01' AND '2026-12-31' GROUP BY stratification_of_lost_deals</t>
  </si>
  <si>
    <t xml:space="preserve">amount_lost</t>
  </si>
  <si>
    <t xml:space="preserve">Weighted2027[BI]</t>
  </si>
  <si>
    <t xml:space="preserve">Year metrics (resolve by LABEL)</t>
  </si>
  <si>
    <t xml:space="preserve">USE (by label)</t>
  </si>
  <si>
    <t xml:space="preserve">Weighted (k$) [BI variant]</t>
  </si>
  <si>
    <t xml:space="preserve">2027</t>
  </si>
  <si>
    <t xml:space="preserve">RECYCLED: internal name has no year → resolve by label</t>
  </si>
  <si>
    <t xml:space="preserve">describe the amount lost</t>
  </si>
  <si>
    <t xml:space="preserve">weighted 2027, 2027 k$</t>
  </si>
  <si>
    <t xml:space="preserve">What is the total weighted for 2027? (label: Weighted2027[BI])</t>
  </si>
  <si>
    <t xml:space="preserve">SELECT SUM(amount_lost) FROM DEAL WHERE hs_is_closed = false</t>
  </si>
  <si>
    <t xml:space="preserve">asp_2021</t>
  </si>
  <si>
    <t xml:space="preserve">ASP 2021 (Hardware only)</t>
  </si>
  <si>
    <t xml:space="preserve">ASP (Hardware)</t>
  </si>
  <si>
    <t xml:space="preserve">2021</t>
  </si>
  <si>
    <t xml:space="preserve">asp 2021, 2021</t>
  </si>
  <si>
    <t xml:space="preserve">What is the total asp for 2021? (label: ASP 2021 (Hardware only))</t>
  </si>
  <si>
    <t xml:space="preserve">SELECT SUM(asp_2021) FROM DEAL WHERE hs_is_closed = false</t>
  </si>
  <si>
    <t xml:space="preserve">asp_2022</t>
  </si>
  <si>
    <t xml:space="preserve">ASP 2022 (Hardware only)</t>
  </si>
  <si>
    <t xml:space="preserve">2022</t>
  </si>
  <si>
    <t xml:space="preserve">asp 2022, 2022</t>
  </si>
  <si>
    <t xml:space="preserve">What is the total asp for 2022? (label: ASP 2022 (Hardware only))</t>
  </si>
  <si>
    <t xml:space="preserve">SELECT SUM(asp_2022) FROM DEAL WHERE hs_is_closed = false</t>
  </si>
  <si>
    <t xml:space="preserve">asp_2023</t>
  </si>
  <si>
    <t xml:space="preserve">ASP 2023 (Hardware only)</t>
  </si>
  <si>
    <t xml:space="preserve">2023</t>
  </si>
  <si>
    <t xml:space="preserve">asp 2023, 2023</t>
  </si>
  <si>
    <t xml:space="preserve">What is the total asp for 2023? (label: ASP 2023 (Hardware only))</t>
  </si>
  <si>
    <t xml:space="preserve">SELECT SUM(asp_2023) FROM DEAL WHERE hs_is_closed = false</t>
  </si>
  <si>
    <t xml:space="preserve">asp_2024</t>
  </si>
  <si>
    <t xml:space="preserve">ASP 2024 (Hardware only)</t>
  </si>
  <si>
    <t xml:space="preserve">2024</t>
  </si>
  <si>
    <t xml:space="preserve">asp 2024, 2024</t>
  </si>
  <si>
    <t xml:space="preserve">What is the total asp for 2024? (label: ASP 2024 (Hardware only))</t>
  </si>
  <si>
    <t xml:space="preserve">SELECT SUM(asp_2024) FROM DEAL WHERE hs_is_closed = false</t>
  </si>
  <si>
    <t xml:space="preserve">asp_2025</t>
  </si>
  <si>
    <t xml:space="preserve">ASP 2025 (Hardware only)</t>
  </si>
  <si>
    <t xml:space="preserve">2025</t>
  </si>
  <si>
    <t xml:space="preserve">asp 2025, 2025</t>
  </si>
  <si>
    <t xml:space="preserve">What is the total asp for 2025? (label: ASP 2025 (Hardware only))</t>
  </si>
  <si>
    <t xml:space="preserve">SELECT SUM(asp_2025) FROM DEAL WHERE hs_is_closed = false</t>
  </si>
  <si>
    <t xml:space="preserve">asp_2026</t>
  </si>
  <si>
    <t xml:space="preserve">ASP 2026 (Hardware only)</t>
  </si>
  <si>
    <t xml:space="preserve">2026</t>
  </si>
  <si>
    <t xml:space="preserve">asp 2026, 2026</t>
  </si>
  <si>
    <t xml:space="preserve">What is the total asp for 2026? (label: ASP 2026 (Hardware only))</t>
  </si>
  <si>
    <t xml:space="preserve">SELECT SUM(asp_2026) FROM DEAL WHERE hs_is_closed = false</t>
  </si>
  <si>
    <t xml:space="preserve">asp_2027</t>
  </si>
  <si>
    <t xml:space="preserve">ASP 2027 (Hardware Only)</t>
  </si>
  <si>
    <t xml:space="preserve">asp 2027, 2027</t>
  </si>
  <si>
    <t xml:space="preserve">What is the total asp for 2027? (label: ASP 2027 (Hardware Only))</t>
  </si>
  <si>
    <t xml:space="preserve">SELECT SUM(asp_2027) FROM DEAL WHERE hs_is_closed = false</t>
  </si>
  <si>
    <t xml:space="preserve">asp_2029__hardware_only_</t>
  </si>
  <si>
    <t xml:space="preserve">ASP 2029 (Hardware Only)</t>
  </si>
  <si>
    <t xml:space="preserve">2029</t>
  </si>
  <si>
    <t xml:space="preserve">asp 2029, 2029</t>
  </si>
  <si>
    <t xml:space="preserve">What is the total asp for 2029? (label: ASP 2029 (Hardware Only))</t>
  </si>
  <si>
    <t xml:space="preserve">SELECT SUM(asp_2029__hardware_only_) FROM DEAL WHERE hs_is_closed = false</t>
  </si>
  <si>
    <t xml:space="preserve">asp_in_usd_q1_2022_calculation</t>
  </si>
  <si>
    <t xml:space="preserve">Weighted 2028 (k$)</t>
  </si>
  <si>
    <t xml:space="preserve">Weighted (k$)</t>
  </si>
  <si>
    <t xml:space="preserve">2028</t>
  </si>
  <si>
    <t xml:space="preserve">RECYCLED: internal name says 2022, label says 2028 → resolve by label</t>
  </si>
  <si>
    <t xml:space="preserve">weighted 2028, 2028 k$</t>
  </si>
  <si>
    <t xml:space="preserve">What is the total weighted for 2028? (label: Weighted 2028 (k$))</t>
  </si>
  <si>
    <t xml:space="preserve">SELECT SUM(asp_in_usd_q1_2022_calculation) FROM DEAL WHERE hs_is_closed = false</t>
  </si>
  <si>
    <t xml:space="preserve">asp_in_usd_q1_2023</t>
  </si>
  <si>
    <t xml:space="preserve">Services value (k$) 2028</t>
  </si>
  <si>
    <t xml:space="preserve">Services value (k$)</t>
  </si>
  <si>
    <t xml:space="preserve">RECYCLED: internal name says 2023, label says 2028 → resolve by label</t>
  </si>
  <si>
    <t xml:space="preserve">services value 2028, 2028 k$</t>
  </si>
  <si>
    <t xml:space="preserve">What is the total services value for 2028? (label: Services value (k$) 2028)</t>
  </si>
  <si>
    <t xml:space="preserve">SELECT SUM(asp_in_usd_q1_2023) FROM DEAL WHERE hs_is_closed = false</t>
  </si>
  <si>
    <t xml:space="preserve">asp_in_usd_q1_2023_calculation</t>
  </si>
  <si>
    <t xml:space="preserve">Weighted Volume 2028 (ku)</t>
  </si>
  <si>
    <t xml:space="preserve">Weighted Volume (ku)</t>
  </si>
  <si>
    <t xml:space="preserve">weighted volume 2028, 2028 ku</t>
  </si>
  <si>
    <t xml:space="preserve">What is the total weighted volume for 2028? (label: Weighted Volume 2028 (ku))</t>
  </si>
  <si>
    <t xml:space="preserve">SELECT SUM(asp_in_usd_q1_2023_calculation) FROM DEAL WHERE hs_is_closed = false</t>
  </si>
  <si>
    <t xml:space="preserve">asp_in_usd_q2_2021</t>
  </si>
  <si>
    <t xml:space="preserve">ASP 2028 (Hardware Only)</t>
  </si>
  <si>
    <t xml:space="preserve">RECYCLED: internal name says 2021, label says 2028 → resolve by label</t>
  </si>
  <si>
    <t xml:space="preserve">asp 2028, 2028</t>
  </si>
  <si>
    <t xml:space="preserve">What is the total asp for 2028? (label: ASP 2028 (Hardware Only))</t>
  </si>
  <si>
    <t xml:space="preserve">SELECT SUM(asp_in_usd_q2_2021) FROM DEAL WHERE hs_is_closed = false</t>
  </si>
  <si>
    <t xml:space="preserve">asp_in_usd_q2_2022</t>
  </si>
  <si>
    <t xml:space="preserve">Volume 2028 (ku)  (Hardware Only)</t>
  </si>
  <si>
    <t xml:space="preserve">Volume (ku) Hardware</t>
  </si>
  <si>
    <t xml:space="preserve">volume 2028, 2028 ku</t>
  </si>
  <si>
    <t xml:space="preserve">What is the total volume for 2028? (label: Volume 2028 (ku)  (Hardware Only))</t>
  </si>
  <si>
    <t xml:space="preserve">SELECT SUM(asp_in_usd_q2_2022) FROM DEAL WHERE hs_is_closed = false</t>
  </si>
  <si>
    <t xml:space="preserve">asp_in_usd_q3_2021_calculation</t>
  </si>
  <si>
    <t xml:space="preserve">Pipeline 2028 (k$)</t>
  </si>
  <si>
    <t xml:space="preserve">Pipeline (k$)</t>
  </si>
  <si>
    <t xml:space="preserve">pipeline 2028, 2028 k$</t>
  </si>
  <si>
    <t xml:space="preserve">What is the total pipeline for 2028? (label: Pipeline 2028 (k$))</t>
  </si>
  <si>
    <t xml:space="preserve">SELECT SUM(asp_in_usd_q3_2021_calculation) FROM DEAL WHERE hs_is_closed = false</t>
  </si>
  <si>
    <t xml:space="preserve">asp_in_usd_q4_2021_calculation</t>
  </si>
  <si>
    <t xml:space="preserve">Cumulative Pipeline 2028 (k$)</t>
  </si>
  <si>
    <t xml:space="preserve">Cumulative Pipeline (k$)</t>
  </si>
  <si>
    <t xml:space="preserve">cumulative pipeline 2028, 2028 k$</t>
  </si>
  <si>
    <t xml:space="preserve">What is the total cumulative pipeline for 2028? (label: Cumulative Pipeline 2028 (k$))</t>
  </si>
  <si>
    <t xml:space="preserve">SELECT SUM(asp_in_usd_q4_2021_calculation) FROM DEAL WHERE hs_is_closed = false</t>
  </si>
  <si>
    <t xml:space="preserve">calculation___cumulative_pipeline_2022</t>
  </si>
  <si>
    <t xml:space="preserve">Cumulative Pipeline 2022 (k$)</t>
  </si>
  <si>
    <t xml:space="preserve">cumulative pipeline 2022, 2022 k$</t>
  </si>
  <si>
    <t xml:space="preserve">What is the total cumulative pipeline for 2022? (label: Cumulative Pipeline 2022 (k$))</t>
  </si>
  <si>
    <t xml:space="preserve">SELECT SUM(calculation___cumulative_pipeline_2022) FROM DEAL WHERE hs_is_closed = false</t>
  </si>
  <si>
    <t xml:space="preserve">calculation___cumulative_pipeline_2023</t>
  </si>
  <si>
    <t xml:space="preserve">Cumulative Pipeline 2023 (k$)</t>
  </si>
  <si>
    <t xml:space="preserve">cumulative pipeline 2023, 2023 k$</t>
  </si>
  <si>
    <t xml:space="preserve">What is the total cumulative pipeline for 2023? (label: Cumulative Pipeline 2023 (k$))</t>
  </si>
  <si>
    <t xml:space="preserve">SELECT SUM(calculation___cumulative_pipeline_2023) FROM DEAL WHERE hs_is_closed = false</t>
  </si>
  <si>
    <t xml:space="preserve">calculation___cumulative_pipeline_2024</t>
  </si>
  <si>
    <t xml:space="preserve">Cumulative Pipeline 2024 (k$)</t>
  </si>
  <si>
    <t xml:space="preserve">cumulative pipeline 2024, 2024 k$</t>
  </si>
  <si>
    <t xml:space="preserve">What is the total cumulative pipeline for 2024? (label: Cumulative Pipeline 2024 (k$))</t>
  </si>
  <si>
    <t xml:space="preserve">SELECT SUM(calculation___cumulative_pipeline_2024) FROM DEAL WHERE hs_is_closed = false</t>
  </si>
  <si>
    <t xml:space="preserve">calculation___cumulative_pipeline_2025</t>
  </si>
  <si>
    <t xml:space="preserve">Cumulative Pipeline 2025 (k$)</t>
  </si>
  <si>
    <t xml:space="preserve">cumulative pipeline 2025, 2025 k$</t>
  </si>
  <si>
    <t xml:space="preserve">What is the total cumulative pipeline for 2025? (label: Cumulative Pipeline 2025 (k$))</t>
  </si>
  <si>
    <t xml:space="preserve">SELECT SUM(calculation___cumulative_pipeline_2025) FROM DEAL WHERE hs_is_closed = false</t>
  </si>
  <si>
    <t xml:space="preserve">calculation___cumulative_pipeline_2026</t>
  </si>
  <si>
    <t xml:space="preserve">Cumulative Pipeline 2027 (k$)</t>
  </si>
  <si>
    <t xml:space="preserve">RECYCLED: internal name says 2026, label says 2027 → resolve by label</t>
  </si>
  <si>
    <t xml:space="preserve">cumulative pipeline 2027, 2027 k$</t>
  </si>
  <si>
    <t xml:space="preserve">What is the total cumulative pipeline for 2027? (label: Cumulative Pipeline 2027 (k$))</t>
  </si>
  <si>
    <t xml:space="preserve">SELECT SUM(calculation___cumulative_pipeline_2026) FROM DEAL WHERE hs_is_closed = false</t>
  </si>
  <si>
    <t xml:space="preserve">calculation___cumulative_weighted_2021</t>
  </si>
  <si>
    <t xml:space="preserve">Weighted Volume 2023 (ku)</t>
  </si>
  <si>
    <t xml:space="preserve">RECYCLED: internal name says 2021, label says 2023 → resolve by label</t>
  </si>
  <si>
    <t xml:space="preserve">weighted volume 2023, 2023 ku</t>
  </si>
  <si>
    <t xml:space="preserve">What is the total weighted volume for 2023? (label: Weighted Volume 2023 (ku))</t>
  </si>
  <si>
    <t xml:space="preserve">SELECT SUM(calculation___cumulative_weighted_2021) FROM DEAL WHERE hs_is_closed = false</t>
  </si>
  <si>
    <t xml:space="preserve">calculation___cumulative_weighted_2022</t>
  </si>
  <si>
    <t xml:space="preserve">Weighted Volume 2024 (ku)</t>
  </si>
  <si>
    <t xml:space="preserve">RECYCLED: internal name says 2022, label says 2024 → resolve by label</t>
  </si>
  <si>
    <t xml:space="preserve">weighted volume 2024, 2024 ku</t>
  </si>
  <si>
    <t xml:space="preserve">What is the total weighted volume for 2024? (label: Weighted Volume 2024 (ku))</t>
  </si>
  <si>
    <t xml:space="preserve">SELECT SUM(calculation___cumulative_weighted_2022) FROM DEAL WHERE hs_is_closed = false</t>
  </si>
  <si>
    <t xml:space="preserve">calculation___cumulative_weighted_2023</t>
  </si>
  <si>
    <t xml:space="preserve">Weighted Volume 2026 (ku)</t>
  </si>
  <si>
    <t xml:space="preserve">RECYCLED: internal name says 2023, label says 2026 → resolve by label</t>
  </si>
  <si>
    <t xml:space="preserve">weighted volume 2026, 2026 ku</t>
  </si>
  <si>
    <t xml:space="preserve">What is the total weighted volume for 2026? (label: Weighted Volume 2026 (ku))</t>
  </si>
  <si>
    <t xml:space="preserve">SELECT SUM(calculation___cumulative_weighted_2023) FROM DEAL WHERE hs_is_closed = false</t>
  </si>
  <si>
    <t xml:space="preserve">calculation___cumulative_weighted_2024</t>
  </si>
  <si>
    <t xml:space="preserve">Weighted Volume 2025 (ku)</t>
  </si>
  <si>
    <t xml:space="preserve">RECYCLED: internal name says 2024, label says 2025 → resolve by label</t>
  </si>
  <si>
    <t xml:space="preserve">weighted volume 2025, 2025 ku</t>
  </si>
  <si>
    <t xml:space="preserve">What is the total weighted volume for 2025? (label: Weighted Volume 2025 (ku))</t>
  </si>
  <si>
    <t xml:space="preserve">SELECT SUM(calculation___cumulative_weighted_2024) FROM DEAL WHERE hs_is_closed = false</t>
  </si>
  <si>
    <t xml:space="preserve">calculation___cumulative_weighted_2025</t>
  </si>
  <si>
    <t xml:space="preserve">Weighted Volume 2027 (ku)</t>
  </si>
  <si>
    <t xml:space="preserve">RECYCLED: internal name says 2025, label says 2027 → resolve by label</t>
  </si>
  <si>
    <t xml:space="preserve">weighted volume 2027, 2027 ku</t>
  </si>
  <si>
    <t xml:space="preserve">What is the total weighted volume for 2027? (label: Weighted Volume 2027 (ku))</t>
  </si>
  <si>
    <t xml:space="preserve">SELECT SUM(calculation___cumulative_weighted_2025) FROM DEAL WHERE hs_is_closed = false</t>
  </si>
  <si>
    <t xml:space="preserve">calculation___cumulative_weighted_2026</t>
  </si>
  <si>
    <t xml:space="preserve">Pipeline 2027 (k$)</t>
  </si>
  <si>
    <t xml:space="preserve">pipeline 2027, 2027 k$</t>
  </si>
  <si>
    <t xml:space="preserve">What is the total pipeline for 2027? (label: Pipeline 2027 (k$))</t>
  </si>
  <si>
    <t xml:space="preserve">SELECT SUM(calculation___cumulative_weighted_2026) FROM DEAL WHERE hs_is_closed = false</t>
  </si>
  <si>
    <t xml:space="preserve">calculation___pipeline_2021__k__</t>
  </si>
  <si>
    <t xml:space="preserve">Pipeline 2021 (k$)</t>
  </si>
  <si>
    <t xml:space="preserve">pipeline 2021, 2021 k$</t>
  </si>
  <si>
    <t xml:space="preserve">What is the total pipeline for 2021? (label: Pipeline 2021 (k$))</t>
  </si>
  <si>
    <t xml:space="preserve">SELECT SUM(calculation___pipeline_2021__k__) FROM DEAL WHERE hs_is_closed = false</t>
  </si>
  <si>
    <t xml:space="preserve">calculation___pipeline_2022__k__</t>
  </si>
  <si>
    <t xml:space="preserve">Pipeline 2022 (k$)</t>
  </si>
  <si>
    <t xml:space="preserve">pipeline 2022, 2022 k$</t>
  </si>
  <si>
    <t xml:space="preserve">What is the total pipeline for 2022? (label: Pipeline 2022 (k$))</t>
  </si>
  <si>
    <t xml:space="preserve">SELECT SUM(calculation___pipeline_2022__k__) FROM DEAL WHERE hs_is_closed = false</t>
  </si>
  <si>
    <t xml:space="preserve">calculation___pipeline_2023__k__</t>
  </si>
  <si>
    <t xml:space="preserve">Pipeline 2023 (k$)</t>
  </si>
  <si>
    <t xml:space="preserve">pipeline 2023, 2023 k$</t>
  </si>
  <si>
    <t xml:space="preserve">What is the total pipeline for 2023? (label: Pipeline 2023 (k$))</t>
  </si>
  <si>
    <t xml:space="preserve">SELECT SUM(calculation___pipeline_2023__k__) FROM DEAL WHERE hs_is_closed = false</t>
  </si>
  <si>
    <t xml:space="preserve">calculation___pipeline_2024__k__</t>
  </si>
  <si>
    <t xml:space="preserve">Pipeline 2024 (k$)</t>
  </si>
  <si>
    <t xml:space="preserve">pipeline 2024, 2024 k$</t>
  </si>
  <si>
    <t xml:space="preserve">What is the total pipeline for 2024? (label: Pipeline 2024 (k$))</t>
  </si>
  <si>
    <t xml:space="preserve">SELECT SUM(calculation___pipeline_2024__k__) FROM DEAL WHERE hs_is_closed = false</t>
  </si>
  <si>
    <t xml:space="preserve">calculation___pipeline_2025__k__</t>
  </si>
  <si>
    <t xml:space="preserve">Pipeline 2025 (k$)</t>
  </si>
  <si>
    <t xml:space="preserve">pipeline 2025, 2025 k$</t>
  </si>
  <si>
    <t xml:space="preserve">What is the total pipeline for 2025? (label: Pipeline 2025 (k$))</t>
  </si>
  <si>
    <t xml:space="preserve">SELECT SUM(calculation___pipeline_2025__k__) FROM DEAL WHERE hs_is_closed = false</t>
  </si>
  <si>
    <t xml:space="preserve">calculation___pipeline_2026__k__</t>
  </si>
  <si>
    <t xml:space="preserve">Pipeline 2026 (k$)</t>
  </si>
  <si>
    <t xml:space="preserve">pipeline 2026, 2026 k$</t>
  </si>
  <si>
    <t xml:space="preserve">What is the total pipeline for 2026? (label: Pipeline 2026 (k$))</t>
  </si>
  <si>
    <t xml:space="preserve">SELECT SUM(calculation___pipeline_2026__k__) FROM DEAL WHERE hs_is_closed = false</t>
  </si>
  <si>
    <t xml:space="preserve">cumulative_pipeline_2029_k_adj</t>
  </si>
  <si>
    <t xml:space="preserve">Cumulative Pipeline 2029(k$)</t>
  </si>
  <si>
    <t xml:space="preserve">cumulative pipeline 2029, 2029 k$</t>
  </si>
  <si>
    <t xml:space="preserve">What is the total cumulative pipeline for 2029? (label: Cumulative Pipeline 2029(k$))</t>
  </si>
  <si>
    <t xml:space="preserve">SELECT SUM(cumulative_pipeline_2029_k_adj) FROM DEAL WHERE hs_is_closed = false</t>
  </si>
  <si>
    <t xml:space="preserve">forecasted_revenue__k_____april_2022_calculation</t>
  </si>
  <si>
    <t xml:space="preserve">Cumulative pipeline 2026 (k$)</t>
  </si>
  <si>
    <t xml:space="preserve">RECYCLED: internal name says 2022, label says 2026 → resolve by label</t>
  </si>
  <si>
    <t xml:space="preserve">cumulative pipeline 2026, 2026 k$</t>
  </si>
  <si>
    <t xml:space="preserve">What is the total cumulative pipeline for 2026? (label: Cumulative pipeline 2026 (k$))</t>
  </si>
  <si>
    <t xml:space="preserve">SELECT SUM(forecasted_revenue__k_____april_2022_calculation) FROM DEAL WHERE hs_is_closed = false</t>
  </si>
  <si>
    <t xml:space="preserve">num_deal_date_identified_</t>
  </si>
  <si>
    <t xml:space="preserve">Pipeline 2027[BI]</t>
  </si>
  <si>
    <t xml:space="preserve">Pipeline (k$) [BI variant]</t>
  </si>
  <si>
    <t xml:space="preserve">What is the total pipeline for 2027? (label: Pipeline 2027[BI])</t>
  </si>
  <si>
    <t xml:space="preserve">SELECT SUM(num_deal_date_identified_) FROM DEAL WHERE hs_is_closed = false</t>
  </si>
  <si>
    <t xml:space="preserve">pipeline2021</t>
  </si>
  <si>
    <t xml:space="preserve">Pipeline2021</t>
  </si>
  <si>
    <t xml:space="preserve">PipelineYYYY (legacy flag, untyped)</t>
  </si>
  <si>
    <t xml:space="preserve">pipelineyyyy 2021, 2021</t>
  </si>
  <si>
    <t xml:space="preserve">What is the total pipelineyyyy for 2021? (label: Pipeline2021)</t>
  </si>
  <si>
    <t xml:space="preserve">SELECT SUM(pipeline2021) FROM DEAL WHERE hs_is_closed = false</t>
  </si>
  <si>
    <t xml:space="preserve">pipeline2022</t>
  </si>
  <si>
    <t xml:space="preserve">Pipeline2022</t>
  </si>
  <si>
    <t xml:space="preserve">pipelineyyyy 2022, 2022</t>
  </si>
  <si>
    <t xml:space="preserve">What is the total pipelineyyyy for 2022? (label: Pipeline2022)</t>
  </si>
  <si>
    <t xml:space="preserve">SELECT SUM(pipeline2022) FROM DEAL WHERE hs_is_closed = false</t>
  </si>
  <si>
    <t xml:space="preserve">pipeline2023</t>
  </si>
  <si>
    <t xml:space="preserve">Pipeline2023</t>
  </si>
  <si>
    <t xml:space="preserve">pipelineyyyy 2023, 2023</t>
  </si>
  <si>
    <t xml:space="preserve">What is the total pipelineyyyy for 2023? (label: Pipeline2023)</t>
  </si>
  <si>
    <t xml:space="preserve">SELECT SUM(pipeline2023) FROM DEAL WHERE hs_is_closed = false</t>
  </si>
  <si>
    <t xml:space="preserve">pipeline2024</t>
  </si>
  <si>
    <t xml:space="preserve">Pipeline2024</t>
  </si>
  <si>
    <t xml:space="preserve">pipelineyyyy 2024, 2024</t>
  </si>
  <si>
    <t xml:space="preserve">What is the total pipelineyyyy for 2024? (label: Pipeline2024)</t>
  </si>
  <si>
    <t xml:space="preserve">SELECT SUM(pipeline2024) FROM DEAL WHERE hs_is_closed = false</t>
  </si>
  <si>
    <t xml:space="preserve">pipeline2025</t>
  </si>
  <si>
    <t xml:space="preserve">Pipeline2025</t>
  </si>
  <si>
    <t xml:space="preserve">pipelineyyyy 2025, 2025</t>
  </si>
  <si>
    <t xml:space="preserve">What is the total pipelineyyyy for 2025? (label: Pipeline2025)</t>
  </si>
  <si>
    <t xml:space="preserve">SELECT SUM(pipeline2025) FROM DEAL WHERE hs_is_closed = false</t>
  </si>
  <si>
    <t xml:space="preserve">pipeline2026</t>
  </si>
  <si>
    <t xml:space="preserve">Pipeline2026</t>
  </si>
  <si>
    <t xml:space="preserve">pipelineyyyy 2026, 2026</t>
  </si>
  <si>
    <t xml:space="preserve">What is the total pipelineyyyy for 2026? (label: Pipeline2026)</t>
  </si>
  <si>
    <t xml:space="preserve">SELECT SUM(pipeline2026) FROM DEAL WHERE hs_is_closed = false</t>
  </si>
  <si>
    <t xml:space="preserve">pipeline_2029__k__</t>
  </si>
  <si>
    <t xml:space="preserve">Pipeline 2029 (k$)</t>
  </si>
  <si>
    <t xml:space="preserve">pipeline 2029, 2029 k$</t>
  </si>
  <si>
    <t xml:space="preserve">What is the total pipeline for 2029? (label: Pipeline 2029 (k$))</t>
  </si>
  <si>
    <t xml:space="preserve">SELECT SUM(pipeline_2029__k__) FROM DEAL WHERE hs_is_closed = false</t>
  </si>
  <si>
    <t xml:space="preserve">service_value_2027__k__</t>
  </si>
  <si>
    <t xml:space="preserve">Services value (k$) 2027</t>
  </si>
  <si>
    <t xml:space="preserve">service value</t>
  </si>
  <si>
    <t xml:space="preserve">services value 2027, 2027 k$</t>
  </si>
  <si>
    <t xml:space="preserve">What is the total services value for 2027? (label: Services value (k$) 2027)</t>
  </si>
  <si>
    <t xml:space="preserve">SELECT SUM(service_value_2027__k__) FROM DEAL WHERE hs_is_closed = false</t>
  </si>
  <si>
    <t xml:space="preserve">service_value__k___2029</t>
  </si>
  <si>
    <t xml:space="preserve">Services value (k$) 2029</t>
  </si>
  <si>
    <t xml:space="preserve">services value 2029, 2029 k$</t>
  </si>
  <si>
    <t xml:space="preserve">What is the total services value for 2029? (label: Services value (k$) 2029)</t>
  </si>
  <si>
    <t xml:space="preserve">SELECT SUM(service_value__k___2029) FROM DEAL WHERE hs_is_closed = false</t>
  </si>
  <si>
    <t xml:space="preserve">services_value_2021</t>
  </si>
  <si>
    <t xml:space="preserve">Services Value (k$) 2021</t>
  </si>
  <si>
    <t xml:space="preserve">services value 2021, 2021 k$</t>
  </si>
  <si>
    <t xml:space="preserve">What is the total services value for 2021? (label: Services Value (k$) 2021)</t>
  </si>
  <si>
    <t xml:space="preserve">SELECT SUM(services_value_2021) FROM DEAL WHERE hs_is_closed = false</t>
  </si>
  <si>
    <t xml:space="preserve">services_value_2022</t>
  </si>
  <si>
    <t xml:space="preserve">Services Value (k$) 2022</t>
  </si>
  <si>
    <t xml:space="preserve">services value 2022, 2022 k$</t>
  </si>
  <si>
    <t xml:space="preserve">What is the total services value for 2022? (label: Services Value (k$) 2022)</t>
  </si>
  <si>
    <t xml:space="preserve">SELECT SUM(services_value_2022) FROM DEAL WHERE hs_is_closed = false</t>
  </si>
  <si>
    <t xml:space="preserve">services_value_2023</t>
  </si>
  <si>
    <t xml:space="preserve">Services Value (k$) 2023</t>
  </si>
  <si>
    <t xml:space="preserve">services value 2023, 2023 k$</t>
  </si>
  <si>
    <t xml:space="preserve">What is the total services value for 2023? (label: Services Value (k$) 2023)</t>
  </si>
  <si>
    <t xml:space="preserve">SELECT SUM(services_value_2023) FROM DEAL WHERE hs_is_closed = false</t>
  </si>
  <si>
    <t xml:space="preserve">services_value_2024</t>
  </si>
  <si>
    <t xml:space="preserve">Services Value (k$) 2024</t>
  </si>
  <si>
    <t xml:space="preserve">services value 2024, 2024 k$</t>
  </si>
  <si>
    <t xml:space="preserve">What is the total services value for 2024? (label: Services Value (k$) 2024)</t>
  </si>
  <si>
    <t xml:space="preserve">SELECT SUM(services_value_2024) FROM DEAL WHERE hs_is_closed = false</t>
  </si>
  <si>
    <t xml:space="preserve">services_value_2025</t>
  </si>
  <si>
    <t xml:space="preserve">Services Value (k$) 2025</t>
  </si>
  <si>
    <t xml:space="preserve">services value 2025, 2025 k$</t>
  </si>
  <si>
    <t xml:space="preserve">What is the total services value for 2025? (label: Services Value (k$) 2025)</t>
  </si>
  <si>
    <t xml:space="preserve">SELECT SUM(services_value_2025) FROM DEAL WHERE hs_is_closed = false</t>
  </si>
  <si>
    <t xml:space="preserve">services_value_2026</t>
  </si>
  <si>
    <t xml:space="preserve">Services Value (k$) 2026</t>
  </si>
  <si>
    <t xml:space="preserve">services value 2026, 2026 k$</t>
  </si>
  <si>
    <t xml:space="preserve">What is the total services value for 2026? (label: Services Value (k$) 2026)</t>
  </si>
  <si>
    <t xml:space="preserve">SELECT SUM(services_value_2026) FROM DEAL WHERE hs_is_closed = false</t>
  </si>
  <si>
    <t xml:space="preserve">volume_2021</t>
  </si>
  <si>
    <t xml:space="preserve">Volume 2021 (ku) (Hardware only)</t>
  </si>
  <si>
    <t xml:space="preserve">volume 2021, 2021 ku</t>
  </si>
  <si>
    <t xml:space="preserve">What is the total volume for 2021? (label: Volume 2021 (ku) (Hardware only))</t>
  </si>
  <si>
    <t xml:space="preserve">SELECT SUM(volume_2021) FROM DEAL WHERE hs_is_closed = false</t>
  </si>
  <si>
    <t xml:space="preserve">volume_2022</t>
  </si>
  <si>
    <t xml:space="preserve">Volume 2022 (ku) (Hardware only)</t>
  </si>
  <si>
    <t xml:space="preserve">volume 2022, 2022 ku</t>
  </si>
  <si>
    <t xml:space="preserve">What is the total volume for 2022? (label: Volume 2022 (ku) (Hardware only))</t>
  </si>
  <si>
    <t xml:space="preserve">SELECT SUM(volume_2022) FROM DEAL WHERE hs_is_closed = false</t>
  </si>
  <si>
    <t xml:space="preserve">volume_2023</t>
  </si>
  <si>
    <t xml:space="preserve">Volume 2023 (ku) (Hardware only)</t>
  </si>
  <si>
    <t xml:space="preserve">volume 2023, 2023 ku</t>
  </si>
  <si>
    <t xml:space="preserve">What is the total volume for 2023? (label: Volume 2023 (ku) (Hardware only))</t>
  </si>
  <si>
    <t xml:space="preserve">SELECT SUM(volume_2023) FROM DEAL WHERE hs_is_closed = false</t>
  </si>
  <si>
    <t xml:space="preserve">volume_2024</t>
  </si>
  <si>
    <t xml:space="preserve">Volume 2024 (ku) (Hardware only)</t>
  </si>
  <si>
    <t xml:space="preserve">volume 2024, 2024 ku</t>
  </si>
  <si>
    <t xml:space="preserve">What is the total volume for 2024? (label: Volume 2024 (ku) (Hardware only))</t>
  </si>
  <si>
    <t xml:space="preserve">SELECT SUM(volume_2024) FROM DEAL WHERE hs_is_closed = false</t>
  </si>
  <si>
    <t xml:space="preserve">volume_2025</t>
  </si>
  <si>
    <t xml:space="preserve">Volume 2025 (ku) (Hardware only)</t>
  </si>
  <si>
    <t xml:space="preserve">volume 2025, 2025 ku</t>
  </si>
  <si>
    <t xml:space="preserve">What is the total volume for 2025? (label: Volume 2025 (ku) (Hardware only))</t>
  </si>
  <si>
    <t xml:space="preserve">SELECT SUM(volume_2025) FROM DEAL WHERE hs_is_closed = false</t>
  </si>
  <si>
    <t xml:space="preserve">volume_2026</t>
  </si>
  <si>
    <t xml:space="preserve">Volume 2026 (ku) (Hardware only)</t>
  </si>
  <si>
    <t xml:space="preserve">volume 2026, 2026 ku</t>
  </si>
  <si>
    <t xml:space="preserve">What is the total volume for 2026? (label: Volume 2026 (ku) (Hardware only))</t>
  </si>
  <si>
    <t xml:space="preserve">SELECT SUM(volume_2026) FROM DEAL WHERE hs_is_closed = false</t>
  </si>
  <si>
    <t xml:space="preserve">volume_2027</t>
  </si>
  <si>
    <t xml:space="preserve">Volume 2027 (ku) (Hardware Only)</t>
  </si>
  <si>
    <t xml:space="preserve">volume 2027, 2027 ku</t>
  </si>
  <si>
    <t xml:space="preserve">What is the total volume for 2027? (label: Volume 2027 (ku) (Hardware Only))</t>
  </si>
  <si>
    <t xml:space="preserve">SELECT SUM(volume_2027) FROM DEAL WHERE hs_is_closed = false</t>
  </si>
  <si>
    <t xml:space="preserve">volume_2029__ku___hardware_only_</t>
  </si>
  <si>
    <t xml:space="preserve">Volume 2029 (ku) (Hardware Only)</t>
  </si>
  <si>
    <t xml:space="preserve">volume 2029, 2029 ku</t>
  </si>
  <si>
    <t xml:space="preserve">What is the total volume for 2029? (label: Volume 2029 (ku) (Hardware Only))</t>
  </si>
  <si>
    <t xml:space="preserve">SELECT SUM(volume_2029__ku___hardware_only_) FROM DEAL WHERE hs_is_closed = false</t>
  </si>
  <si>
    <t xml:space="preserve">weighted_2021_calculation</t>
  </si>
  <si>
    <t xml:space="preserve">Weighted 2027 (k$)</t>
  </si>
  <si>
    <t xml:space="preserve">RECYCLED: internal name says 2021, label says 2027 → resolve by label</t>
  </si>
  <si>
    <t xml:space="preserve">What is the total weighted for 2027? (label: Weighted 2027 (k$))</t>
  </si>
  <si>
    <t xml:space="preserve">SELECT SUM(weighted_2021_calculation) FROM DEAL WHERE hs_is_closed = false</t>
  </si>
  <si>
    <t xml:space="preserve">weighted_2022_calculation</t>
  </si>
  <si>
    <t xml:space="preserve">Weighted 2022 (k$)</t>
  </si>
  <si>
    <t xml:space="preserve">weighted 2022, 2022 k$</t>
  </si>
  <si>
    <t xml:space="preserve">What is the total weighted for 2022? (label: Weighted 2022 (k$))</t>
  </si>
  <si>
    <t xml:space="preserve">SELECT SUM(weighted_2022_calculation) FROM DEAL WHERE hs_is_closed = false</t>
  </si>
  <si>
    <t xml:space="preserve">weighted_2023_calculation</t>
  </si>
  <si>
    <t xml:space="preserve">Weighted 2023 (k$)</t>
  </si>
  <si>
    <t xml:space="preserve">weighted 2023, 2023 k$</t>
  </si>
  <si>
    <t xml:space="preserve">What is the total weighted for 2023? (label: Weighted 2023 (k$))</t>
  </si>
  <si>
    <t xml:space="preserve">SELECT SUM(weighted_2023_calculation) FROM DEAL WHERE hs_is_closed = false</t>
  </si>
  <si>
    <t xml:space="preserve">weighted_2024_calculation</t>
  </si>
  <si>
    <t xml:space="preserve">Weighted 2024 (k$)</t>
  </si>
  <si>
    <t xml:space="preserve">weighted 2024, 2024 k$</t>
  </si>
  <si>
    <t xml:space="preserve">What is the total weighted for 2024? (label: Weighted 2024 (k$))</t>
  </si>
  <si>
    <t xml:space="preserve">SELECT SUM(weighted_2024_calculation) FROM DEAL WHERE hs_is_closed = false</t>
  </si>
  <si>
    <t xml:space="preserve">weighted_2025_calculation</t>
  </si>
  <si>
    <t xml:space="preserve">Weighted 2025 (k$)</t>
  </si>
  <si>
    <t xml:space="preserve">weighted 2025, 2025 k$</t>
  </si>
  <si>
    <t xml:space="preserve">What is the total weighted for 2025? (label: Weighted 2025 (k$))</t>
  </si>
  <si>
    <t xml:space="preserve">SELECT SUM(weighted_2025_calculation) FROM DEAL WHERE hs_is_closed = false</t>
  </si>
  <si>
    <t xml:space="preserve">weighted_2026_calculation</t>
  </si>
  <si>
    <t xml:space="preserve">Weighted 2026 (k$)</t>
  </si>
  <si>
    <t xml:space="preserve">weighted 2026, 2026 k$</t>
  </si>
  <si>
    <t xml:space="preserve">What is the total weighted for 2026? (label: Weighted 2026 (k$))</t>
  </si>
  <si>
    <t xml:space="preserve">SELECT SUM(weighted_2026_calculation) FROM DEAL WHERE hs_is_closed = false</t>
  </si>
  <si>
    <t xml:space="preserve">weighted_2029_k</t>
  </si>
  <si>
    <t xml:space="preserve">Weighted 2029 (k$)</t>
  </si>
  <si>
    <t xml:space="preserve">weighted 2029, 2029 k$</t>
  </si>
  <si>
    <t xml:space="preserve">What is the total weighted for 2029? (label: Weighted 2029 (k$))</t>
  </si>
  <si>
    <t xml:space="preserve">SELECT SUM(weighted_2029_k) FROM DEAL WHERE hs_is_closed = false</t>
  </si>
  <si>
    <t xml:space="preserve">weighted_volume_2029_ku</t>
  </si>
  <si>
    <t xml:space="preserve">Weighted Volume 2029 (ku)</t>
  </si>
  <si>
    <t xml:space="preserve">weighted volume 2029, 2029 ku</t>
  </si>
  <si>
    <t xml:space="preserve">What is the total weighted volume for 2029? (label: Weighted Volume 2029 (ku))</t>
  </si>
  <si>
    <t xml:space="preserve">SELECT SUM(weighted_volume_2029_ku) FROM DEAL WHERE hs_is_closed = false</t>
  </si>
  <si>
    <t xml:space="preserve">asp_in_usd_q1_2022</t>
  </si>
  <si>
    <t xml:space="preserve">Volume 2028 (ku) (Hardware Only)(IGNORE)</t>
  </si>
  <si>
    <t xml:space="preserve">Z-DO NOT USE / TEST</t>
  </si>
  <si>
    <t xml:space="preserve">DO NOT USE</t>
  </si>
  <si>
    <t xml:space="preserve">What is the total volume for 2028? (label: Volume 2028 (ku) (Hardware Only)(IGNORE))</t>
  </si>
  <si>
    <t xml:space="preserve">SELECT SUM(asp_in_usd_q1_2022) FROM DEAL WHERE hs_is_closed = false</t>
  </si>
  <si>
    <t xml:space="preserve">associated_software_test_</t>
  </si>
  <si>
    <t xml:space="preserve">Associated software(TEST)</t>
  </si>
  <si>
    <t xml:space="preserve">DO NOT USE — test/ignored property.</t>
  </si>
  <si>
    <t xml:space="preserve">-- not to be queried</t>
  </si>
  <si>
    <t xml:space="preserve">cctest_icalps_netamount</t>
  </si>
  <si>
    <t xml:space="preserve">[cc]Test_Icalps_NetAmount</t>
  </si>
  <si>
    <t xml:space="preserve">ignore_this_property</t>
  </si>
  <si>
    <t xml:space="preserve">All Opportunities</t>
  </si>
  <si>
    <t xml:space="preserve">RECYCLED: label 'All Opportunities' has nothing to do with internal name</t>
  </si>
  <si>
    <t xml:space="preserve">snapshot_deal___one_month_</t>
  </si>
  <si>
    <t xml:space="preserve">Snapshot deal(- one month)</t>
  </si>
  <si>
    <t xml:space="preserve">solution_family__new_</t>
  </si>
  <si>
    <t xml:space="preserve">PROD - Solution family (DO NOT USE)</t>
  </si>
  <si>
    <t xml:space="preserve">WISeAuthentic | WISeBattery | WISePrint | WISe.Art | WISeID | HIRO</t>
  </si>
  <si>
    <t xml:space="preserve">test_property_1754316729182</t>
  </si>
  <si>
    <t xml:space="preserve">Test Property</t>
  </si>
  <si>
    <t xml:space="preserve">Test property created by test runner</t>
  </si>
  <si>
    <t xml:space="preserve">to_delete</t>
  </si>
  <si>
    <t xml:space="preserve">metric</t>
  </si>
  <si>
    <t xml:space="preserve">property (internal name)</t>
  </si>
  <si>
    <t xml:space="preserve">drift</t>
  </si>
  <si>
    <t xml:space="preserve">value (use in SQL)</t>
  </si>
  <si>
    <t xml:space="preserve">option label</t>
  </si>
  <si>
    <t xml:space="preserve">extra</t>
  </si>
  <si>
    <t xml:space="preserve">sql_predicate</t>
  </si>
  <si>
    <t xml:space="preserve">INES</t>
  </si>
  <si>
    <t xml:space="preserve">prod___product_name_new_ = 'INES'</t>
  </si>
  <si>
    <t xml:space="preserve">SEALBOX</t>
  </si>
  <si>
    <t xml:space="preserve">prod___product_name_new_ = 'SEALBOX'</t>
  </si>
  <si>
    <t xml:space="preserve">SCR400</t>
  </si>
  <si>
    <t xml:space="preserve">prod___product_name_new_ = 'SCR400'</t>
  </si>
  <si>
    <t xml:space="preserve">SCR200</t>
  </si>
  <si>
    <t xml:space="preserve">prod___product_name_new_ = 'SCR200'</t>
  </si>
  <si>
    <t xml:space="preserve">SCR075</t>
  </si>
  <si>
    <t xml:space="preserve">prod___product_name_new_ = 'SCR075'</t>
  </si>
  <si>
    <t xml:space="preserve">VIC420</t>
  </si>
  <si>
    <t xml:space="preserve">prod___product_name_new_ = 'VIC420'</t>
  </si>
  <si>
    <t xml:space="preserve">VIC408</t>
  </si>
  <si>
    <t xml:space="preserve">prod___product_name_new_ = 'VIC408'</t>
  </si>
  <si>
    <t xml:space="preserve">QVault 409</t>
  </si>
  <si>
    <t xml:space="preserve">VIC409</t>
  </si>
  <si>
    <t xml:space="preserve">prod___product_name_new_ = 'QVault 409'</t>
  </si>
  <si>
    <t xml:space="preserve">VIC405 1.2.5</t>
  </si>
  <si>
    <t xml:space="preserve">prod___product_name_new_ = 'VIC405 1.2.5'</t>
  </si>
  <si>
    <t xml:space="preserve">VIC405 1.0.1 (LEGACY)</t>
  </si>
  <si>
    <t xml:space="preserve">prod___product_name_new_ = 'VIC405 1.0.1 (LEGACY)'</t>
  </si>
  <si>
    <t xml:space="preserve">VIC405 1.2.1 (LEGACY)</t>
  </si>
  <si>
    <t xml:space="preserve">prod___product_name_new_ = 'VIC405 1.2.1 (LEGACY)'</t>
  </si>
  <si>
    <t xml:space="preserve">VIC405 1.2.6 (CUSTOM - BK Tech)</t>
  </si>
  <si>
    <t xml:space="preserve">prod___product_name_new_ = 'VIC405 1.2.6 (CUSTOM - BK Tech)'</t>
  </si>
  <si>
    <t xml:space="preserve">VIC292</t>
  </si>
  <si>
    <t xml:space="preserve">prod___product_name_new_ = 'VIC292'</t>
  </si>
  <si>
    <t xml:space="preserve">VIC186</t>
  </si>
  <si>
    <t xml:space="preserve">prod___product_name_new_ = 'VIC186'</t>
  </si>
  <si>
    <t xml:space="preserve">VIC183</t>
  </si>
  <si>
    <t xml:space="preserve">prod___product_name_new_ = 'VIC183'</t>
  </si>
  <si>
    <t xml:space="preserve">VIC100</t>
  </si>
  <si>
    <t xml:space="preserve">prod___product_name_new_ = 'VIC100'</t>
  </si>
  <si>
    <t xml:space="preserve">VIC155</t>
  </si>
  <si>
    <t xml:space="preserve">prod___product_name_new_ = 'VIC155'</t>
  </si>
  <si>
    <t xml:space="preserve">Nanoseal</t>
  </si>
  <si>
    <t xml:space="preserve">prod___product_name_new_ = 'Nanoseal'</t>
  </si>
  <si>
    <t xml:space="preserve">QS7001</t>
  </si>
  <si>
    <t xml:space="preserve">prod___product_name_new_ = 'QS7001'</t>
  </si>
  <si>
    <t xml:space="preserve">QVault TPM IOT</t>
  </si>
  <si>
    <t xml:space="preserve">QVault TPM</t>
  </si>
  <si>
    <t xml:space="preserve">prod___product_name_new_ = 'QVault TPM'</t>
  </si>
  <si>
    <t xml:space="preserve">MS6003</t>
  </si>
  <si>
    <t xml:space="preserve">prod___product_name_new_ = 'MS6003'</t>
  </si>
  <si>
    <t xml:space="preserve">MS6001</t>
  </si>
  <si>
    <t xml:space="preserve">prod___product_name_new_ = 'MS6001'</t>
  </si>
  <si>
    <t xml:space="preserve">104104CV</t>
  </si>
  <si>
    <t xml:space="preserve">prod___product_name_new_ = '104104CV'</t>
  </si>
  <si>
    <t xml:space="preserve">4040CV</t>
  </si>
  <si>
    <t xml:space="preserve">prod___product_name_new_ = '4040CV'</t>
  </si>
  <si>
    <t xml:space="preserve">SO128</t>
  </si>
  <si>
    <t xml:space="preserve">prod___product_name_new_ = 'SO128'</t>
  </si>
  <si>
    <t xml:space="preserve">SO64</t>
  </si>
  <si>
    <t xml:space="preserve">prod___product_name_new_ = 'SO64'</t>
  </si>
  <si>
    <t xml:space="preserve">SO36</t>
  </si>
  <si>
    <t xml:space="preserve">prod___product_name_new_ = 'SO36'</t>
  </si>
  <si>
    <t xml:space="preserve">Quack2 (CISCO)</t>
  </si>
  <si>
    <t xml:space="preserve">prod___product_name_new_ = 'Quack2 (CISCO)'</t>
  </si>
  <si>
    <t xml:space="preserve">Quack2 HT (CISCO)</t>
  </si>
  <si>
    <t xml:space="preserve">prod___product_name_new_ = 'Quack2 HT (CISCO)'</t>
  </si>
  <si>
    <t xml:space="preserve">Act2L v1.3 (CISCO)</t>
  </si>
  <si>
    <t xml:space="preserve">prod___product_name_new_ = 'Act2L v1.3 (CISCO)'</t>
  </si>
  <si>
    <t xml:space="preserve">Act2L v1.5 (CISCO)</t>
  </si>
  <si>
    <t xml:space="preserve">prod___product_name_new_ = 'Act2L v1.5 (CISCO)'</t>
  </si>
  <si>
    <t xml:space="preserve">Wise.Sat</t>
  </si>
  <si>
    <t xml:space="preserve">prod___product_name_new_ = 'Wise.Sat'</t>
  </si>
  <si>
    <t xml:space="preserve">SEALCOIN</t>
  </si>
  <si>
    <t xml:space="preserve">prod___product_name_new_ = 'SEALCOIN'</t>
  </si>
  <si>
    <t xml:space="preserve">Wise.Art/NFT</t>
  </si>
  <si>
    <t xml:space="preserve">prod___product_name_new_ = 'Wise.Art/NFT'</t>
  </si>
  <si>
    <t xml:space="preserve">PKI</t>
  </si>
  <si>
    <t xml:space="preserve">prod___product_name_new_ = 'PKI'</t>
  </si>
  <si>
    <t xml:space="preserve">PKI/GSMA</t>
  </si>
  <si>
    <t xml:space="preserve">prod___product_name_new_ = 'PKI/GSMA'</t>
  </si>
  <si>
    <t xml:space="preserve">PKI/Other</t>
  </si>
  <si>
    <t xml:space="preserve">prod___product_name_new_ = 'PKI/Other'</t>
  </si>
  <si>
    <t xml:space="preserve">Undefined</t>
  </si>
  <si>
    <t xml:space="preserve">ASIC</t>
  </si>
  <si>
    <t xml:space="preserve">prod___product_name_new_ = 'Undefined'</t>
  </si>
  <si>
    <t xml:space="preserve">NRE</t>
  </si>
  <si>
    <t xml:space="preserve">prod___product_name_new_ = 'NRE'</t>
  </si>
  <si>
    <t xml:space="preserve">Legacy</t>
  </si>
  <si>
    <t xml:space="preserve">prod___product_name_new_ = 'Legacy'</t>
  </si>
  <si>
    <t xml:space="preserve">OCI</t>
  </si>
  <si>
    <t xml:space="preserve">prod___product_name_new_ = 'OCI'</t>
  </si>
  <si>
    <t xml:space="preserve">N/A</t>
  </si>
  <si>
    <t xml:space="preserve">prod___product_name_new_ = 'N/A'</t>
  </si>
  <si>
    <t xml:space="preserve">SCR</t>
  </si>
  <si>
    <t xml:space="preserve">product_hierarchy = 'SCR'</t>
  </si>
  <si>
    <t xml:space="preserve">600x</t>
  </si>
  <si>
    <t xml:space="preserve">MS600x</t>
  </si>
  <si>
    <t xml:space="preserve">product_hierarchy = '600x'</t>
  </si>
  <si>
    <t xml:space="preserve">VIC</t>
  </si>
  <si>
    <t xml:space="preserve">product_hierarchy = 'VIC'</t>
  </si>
  <si>
    <t xml:space="preserve">product_hierarchy = 'ASIC'</t>
  </si>
  <si>
    <t xml:space="preserve">product_hierarchy = 'Legacy'</t>
  </si>
  <si>
    <t xml:space="preserve">product_hierarchy = 'PKI'</t>
  </si>
  <si>
    <t xml:space="preserve">TPM</t>
  </si>
  <si>
    <t xml:space="preserve">product_hierarchy = 'TPM'</t>
  </si>
  <si>
    <t xml:space="preserve">CISCO</t>
  </si>
  <si>
    <t xml:space="preserve">product_hierarchy = 'CISCO'</t>
  </si>
  <si>
    <t xml:space="preserve">product_line = 'ASIC'</t>
  </si>
  <si>
    <t xml:space="preserve">Quantum Shield</t>
  </si>
  <si>
    <t xml:space="preserve">product_line = 'Quantum Shield'</t>
  </si>
  <si>
    <t xml:space="preserve">product_line = 'PKI'</t>
  </si>
  <si>
    <t xml:space="preserve">product_line = 'TPM'</t>
  </si>
  <si>
    <t xml:space="preserve">product_line = 'Legacy'</t>
  </si>
  <si>
    <t xml:space="preserve">WISeAuthentic</t>
  </si>
  <si>
    <t xml:space="preserve">solution_family__new_ = 'WISeAuthentic'</t>
  </si>
  <si>
    <t xml:space="preserve">WISeBattery</t>
  </si>
  <si>
    <t xml:space="preserve">solution_family__new_ = 'WISeBattery'</t>
  </si>
  <si>
    <t xml:space="preserve">WISePrint</t>
  </si>
  <si>
    <t xml:space="preserve">solution_family__new_ = 'WISePrint'</t>
  </si>
  <si>
    <t xml:space="preserve">WISe.Art</t>
  </si>
  <si>
    <t xml:space="preserve">solution_family__new_ = 'WISe.Art'</t>
  </si>
  <si>
    <t xml:space="preserve">WISeID</t>
  </si>
  <si>
    <t xml:space="preserve">solution_family__new_ = 'WISeID'</t>
  </si>
  <si>
    <t xml:space="preserve">HIRO</t>
  </si>
  <si>
    <t xml:space="preserve">solution_family__new_ = 'HIRO'</t>
  </si>
  <si>
    <t xml:space="preserve">Yes</t>
  </si>
  <si>
    <t xml:space="preserve">tpm_qvault___qs7001___ip__ = 'Yes'</t>
  </si>
  <si>
    <t xml:space="preserve">No</t>
  </si>
  <si>
    <t xml:space="preserve">tpm_qvault___qs7001___ip__ = 'No'</t>
  </si>
  <si>
    <t xml:space="preserve">PKI Service</t>
  </si>
  <si>
    <t xml:space="preserve">PKI Service (WK)</t>
  </si>
  <si>
    <t xml:space="preserve">service_name = 'PKI Service'</t>
  </si>
  <si>
    <t xml:space="preserve">Digital Signature</t>
  </si>
  <si>
    <t xml:space="preserve">Digital Signature (WK)</t>
  </si>
  <si>
    <t xml:space="preserve">service_name = 'Digital Signature'</t>
  </si>
  <si>
    <t xml:space="preserve">WiseID</t>
  </si>
  <si>
    <t xml:space="preserve">WiseID (WK)</t>
  </si>
  <si>
    <t xml:space="preserve">service_name = 'WiseID'</t>
  </si>
  <si>
    <t xml:space="preserve">SSL Certificates</t>
  </si>
  <si>
    <t xml:space="preserve">SSL Certificates (WK)</t>
  </si>
  <si>
    <t xml:space="preserve">service_name = 'SSL Certificates'</t>
  </si>
  <si>
    <t xml:space="preserve">Custom/MPKI/TLS (WK)</t>
  </si>
  <si>
    <t xml:space="preserve">service_name = 'Custom/MPKI/TLS (WK)'</t>
  </si>
  <si>
    <t xml:space="preserve">FTK</t>
  </si>
  <si>
    <t xml:space="preserve">FTK (IcAlps)</t>
  </si>
  <si>
    <t xml:space="preserve">service_name = 'FTK'</t>
  </si>
  <si>
    <t xml:space="preserve">Pre-Study</t>
  </si>
  <si>
    <t xml:space="preserve">Pre-Study (IcAlps)</t>
  </si>
  <si>
    <t xml:space="preserve">service_name = 'Pre-Study'</t>
  </si>
  <si>
    <t xml:space="preserve">Satellite Service (Wise.Sat)</t>
  </si>
  <si>
    <t xml:space="preserve">service_name = 'Satellite Service (Wise.Sat)'</t>
  </si>
  <si>
    <t xml:space="preserve">NRE (SEALSQ)</t>
  </si>
  <si>
    <t xml:space="preserve">service_name = 'NRE (SEALSQ)'</t>
  </si>
  <si>
    <t xml:space="preserve">PKI (SEALSQ)</t>
  </si>
  <si>
    <t xml:space="preserve">service_name = 'PKI (SEALSQ)'</t>
  </si>
  <si>
    <t xml:space="preserve">Quantum (SEALSQ)</t>
  </si>
  <si>
    <t xml:space="preserve">service_name = 'Quantum (SEALSQ)'</t>
  </si>
  <si>
    <t xml:space="preserve">12096408</t>
  </si>
  <si>
    <t xml:space="preserve">SealSQ Hardware</t>
  </si>
  <si>
    <t xml:space="preserve">pipeline = '12096408'</t>
  </si>
  <si>
    <t xml:space="preserve">13772279</t>
  </si>
  <si>
    <t xml:space="preserve">SealSQ Services</t>
  </si>
  <si>
    <t xml:space="preserve">pipeline = '13772279'</t>
  </si>
  <si>
    <t xml:space="preserve">40296576</t>
  </si>
  <si>
    <t xml:space="preserve">Wisekey Services + PKI</t>
  </si>
  <si>
    <t xml:space="preserve">pipeline = '40296576'</t>
  </si>
  <si>
    <t xml:space="preserve">875072356</t>
  </si>
  <si>
    <t xml:space="preserve">pipeline = '875072356'</t>
  </si>
  <si>
    <t xml:space="preserve">705868909</t>
  </si>
  <si>
    <t xml:space="preserve">pipeline = '705868909'</t>
  </si>
  <si>
    <t xml:space="preserve">766126206</t>
  </si>
  <si>
    <t xml:space="preserve">Icalps_hardware</t>
  </si>
  <si>
    <t xml:space="preserve">pipeline = '766126206'</t>
  </si>
  <si>
    <t xml:space="preserve">934982230</t>
  </si>
  <si>
    <t xml:space="preserve">Quantum &amp; AI</t>
  </si>
  <si>
    <t xml:space="preserve">pipeline = '934982230'</t>
  </si>
  <si>
    <t xml:space="preserve">12096409</t>
  </si>
  <si>
    <t xml:space="preserve">Identified (SealSQ Hardware)</t>
  </si>
  <si>
    <t xml:space="preserve">pipeline_id=12096408</t>
  </si>
  <si>
    <t xml:space="preserve">dealstage = '12096409'</t>
  </si>
  <si>
    <t xml:space="preserve">12096410</t>
  </si>
  <si>
    <t xml:space="preserve">Qualified (SealSQ Hardware)</t>
  </si>
  <si>
    <t xml:space="preserve">dealstage = '12096410'</t>
  </si>
  <si>
    <t xml:space="preserve">12096411</t>
  </si>
  <si>
    <t xml:space="preserve">Design In (SealSQ Hardware)</t>
  </si>
  <si>
    <t xml:space="preserve">dealstage = '12096411'</t>
  </si>
  <si>
    <t xml:space="preserve">12096412</t>
  </si>
  <si>
    <t xml:space="preserve">Design Win (SealSQ Hardware)</t>
  </si>
  <si>
    <t xml:space="preserve">dealstage = '12096412'</t>
  </si>
  <si>
    <t xml:space="preserve">12096869</t>
  </si>
  <si>
    <t xml:space="preserve">Closed Won (SealSQ Hardware)</t>
  </si>
  <si>
    <t xml:space="preserve">dealstage = '12096869'</t>
  </si>
  <si>
    <t xml:space="preserve">12096415</t>
  </si>
  <si>
    <t xml:space="preserve">Closed Lost (SealSQ Hardware)</t>
  </si>
  <si>
    <t xml:space="preserve">dealstage = '12096415'</t>
  </si>
  <si>
    <t xml:space="preserve">13772274</t>
  </si>
  <si>
    <t xml:space="preserve">Closed Dead (SealSQ Hardware)</t>
  </si>
  <si>
    <t xml:space="preserve">dealstage = '13772274'</t>
  </si>
  <si>
    <t xml:space="preserve">13772280</t>
  </si>
  <si>
    <t xml:space="preserve">Identified (SealSQ Services)</t>
  </si>
  <si>
    <t xml:space="preserve">pipeline_id=13772279</t>
  </si>
  <si>
    <t xml:space="preserve">dealstage = '13772280'</t>
  </si>
  <si>
    <t xml:space="preserve">13772281</t>
  </si>
  <si>
    <t xml:space="preserve">Qualified (SealSQ Services)</t>
  </si>
  <si>
    <t xml:space="preserve">dealstage = '13772281'</t>
  </si>
  <si>
    <t xml:space="preserve">13772282</t>
  </si>
  <si>
    <t xml:space="preserve">Design In (SealSQ Services)</t>
  </si>
  <si>
    <t xml:space="preserve">dealstage = '13772282'</t>
  </si>
  <si>
    <t xml:space="preserve">31868514</t>
  </si>
  <si>
    <t xml:space="preserve">Design Win (SealSQ Services)</t>
  </si>
  <si>
    <t xml:space="preserve">dealstage = '31868514'</t>
  </si>
  <si>
    <t xml:space="preserve">13772285</t>
  </si>
  <si>
    <t xml:space="preserve">Closed Won (SealSQ Services)</t>
  </si>
  <si>
    <t xml:space="preserve">dealstage = '13772285'</t>
  </si>
  <si>
    <t xml:space="preserve">13772286</t>
  </si>
  <si>
    <t xml:space="preserve">Closed Lost (SealSQ Services)</t>
  </si>
  <si>
    <t xml:space="preserve">dealstage = '13772286'</t>
  </si>
  <si>
    <t xml:space="preserve">13772309</t>
  </si>
  <si>
    <t xml:space="preserve">Closed Dead (SealSQ Services)</t>
  </si>
  <si>
    <t xml:space="preserve">dealstage = '13772309'</t>
  </si>
  <si>
    <t xml:space="preserve">85103752</t>
  </si>
  <si>
    <t xml:space="preserve">Identified (Wisekey Services + PKI)</t>
  </si>
  <si>
    <t xml:space="preserve">pipeline_id=40296576</t>
  </si>
  <si>
    <t xml:space="preserve">dealstage = '85103752'</t>
  </si>
  <si>
    <t xml:space="preserve">85103753</t>
  </si>
  <si>
    <t xml:space="preserve">Qualified (Wisekey Services + PKI)</t>
  </si>
  <si>
    <t xml:space="preserve">dealstage = '85103753'</t>
  </si>
  <si>
    <t xml:space="preserve">85103754</t>
  </si>
  <si>
    <t xml:space="preserve">Design In (Wisekey Services + PKI)</t>
  </si>
  <si>
    <t xml:space="preserve">dealstage = '85103754'</t>
  </si>
  <si>
    <t xml:space="preserve">85103755</t>
  </si>
  <si>
    <t xml:space="preserve">Design Win (Wisekey Services + PKI)</t>
  </si>
  <si>
    <t xml:space="preserve">dealstage = '85103755'</t>
  </si>
  <si>
    <t xml:space="preserve">85103756</t>
  </si>
  <si>
    <t xml:space="preserve">Closed Won (Wisekey Services + PKI)</t>
  </si>
  <si>
    <t xml:space="preserve">dealstage = '85103756'</t>
  </si>
  <si>
    <t xml:space="preserve">85103757</t>
  </si>
  <si>
    <t xml:space="preserve">Closed Dead (Wisekey Services + PKI)</t>
  </si>
  <si>
    <t xml:space="preserve">dealstage = '85103757'</t>
  </si>
  <si>
    <t xml:space="preserve">85103758</t>
  </si>
  <si>
    <t xml:space="preserve">Closed lost (Wisekey Services + PKI)</t>
  </si>
  <si>
    <t xml:space="preserve">dealstage = '85103758'</t>
  </si>
  <si>
    <t xml:space="preserve">1311252059</t>
  </si>
  <si>
    <t xml:space="preserve">Identified (Wise.Sat)</t>
  </si>
  <si>
    <t xml:space="preserve">pipeline_id=875072356</t>
  </si>
  <si>
    <t xml:space="preserve">dealstage = '1311252059'</t>
  </si>
  <si>
    <t xml:space="preserve">1311252060</t>
  </si>
  <si>
    <t xml:space="preserve">Qualified (Wise.Sat)</t>
  </si>
  <si>
    <t xml:space="preserve">dealstage = '1311252060'</t>
  </si>
  <si>
    <t xml:space="preserve">1311252061</t>
  </si>
  <si>
    <t xml:space="preserve">Design In (Wise.Sat)</t>
  </si>
  <si>
    <t xml:space="preserve">dealstage = '1311252061'</t>
  </si>
  <si>
    <t xml:space="preserve">1311252062</t>
  </si>
  <si>
    <t xml:space="preserve">Design Win (Wise.Sat)</t>
  </si>
  <si>
    <t xml:space="preserve">dealstage = '1311252062'</t>
  </si>
  <si>
    <t xml:space="preserve">1311252063</t>
  </si>
  <si>
    <t xml:space="preserve">Closed Won (Wise.Sat)</t>
  </si>
  <si>
    <t xml:space="preserve">dealstage = '1311252063'</t>
  </si>
  <si>
    <t xml:space="preserve">1311252064</t>
  </si>
  <si>
    <t xml:space="preserve">Closed Dead (Wise.Sat)</t>
  </si>
  <si>
    <t xml:space="preserve">dealstage = '1311252064'</t>
  </si>
  <si>
    <t xml:space="preserve">1311252065</t>
  </si>
  <si>
    <t xml:space="preserve">Closed lost (Wise.Sat)</t>
  </si>
  <si>
    <t xml:space="preserve">dealstage = '1311252065'</t>
  </si>
  <si>
    <t xml:space="preserve">1031449001</t>
  </si>
  <si>
    <t xml:space="preserve">Identified (SEALCOIN)</t>
  </si>
  <si>
    <t xml:space="preserve">pipeline_id=705868909</t>
  </si>
  <si>
    <t xml:space="preserve">dealstage = '1031449001'</t>
  </si>
  <si>
    <t xml:space="preserve">1031449002</t>
  </si>
  <si>
    <t xml:space="preserve">Qualified (SEALCOIN)</t>
  </si>
  <si>
    <t xml:space="preserve">dealstage = '1031449002'</t>
  </si>
  <si>
    <t xml:space="preserve">1031449003</t>
  </si>
  <si>
    <t xml:space="preserve">Design In (SEALCOIN)</t>
  </si>
  <si>
    <t xml:space="preserve">dealstage = '1031449003'</t>
  </si>
  <si>
    <t xml:space="preserve">1031449004</t>
  </si>
  <si>
    <t xml:space="preserve">Design Win (SEALCOIN)</t>
  </si>
  <si>
    <t xml:space="preserve">dealstage = '1031449004'</t>
  </si>
  <si>
    <t xml:space="preserve">1031449005</t>
  </si>
  <si>
    <t xml:space="preserve">Closed Won (SEALCOIN)</t>
  </si>
  <si>
    <t xml:space="preserve">dealstage = '1031449005'</t>
  </si>
  <si>
    <t xml:space="preserve">1031449006</t>
  </si>
  <si>
    <t xml:space="preserve">Closed Lost (SEALCOIN)</t>
  </si>
  <si>
    <t xml:space="preserve">dealstage = '1031449006'</t>
  </si>
  <si>
    <t xml:space="preserve">1116419644</t>
  </si>
  <si>
    <t xml:space="preserve">Identified (Icalps_hardware)</t>
  </si>
  <si>
    <t xml:space="preserve">pipeline_id=766126206</t>
  </si>
  <si>
    <t xml:space="preserve">dealstage = '1116419644'</t>
  </si>
  <si>
    <t xml:space="preserve">1116419645</t>
  </si>
  <si>
    <t xml:space="preserve">Qualified (Icalps_hardware)</t>
  </si>
  <si>
    <t xml:space="preserve">dealstage = '1116419645'</t>
  </si>
  <si>
    <t xml:space="preserve">1116419646</t>
  </si>
  <si>
    <t xml:space="preserve">Design In (Icalps_hardware)</t>
  </si>
  <si>
    <t xml:space="preserve">dealstage = '1116419646'</t>
  </si>
  <si>
    <t xml:space="preserve">1116419647</t>
  </si>
  <si>
    <t xml:space="preserve">Design Win (Icalps_hardware)</t>
  </si>
  <si>
    <t xml:space="preserve">dealstage = '1116419647'</t>
  </si>
  <si>
    <t xml:space="preserve">1116419649</t>
  </si>
  <si>
    <t xml:space="preserve">Closed Won (Icalps_hardware)</t>
  </si>
  <si>
    <t xml:space="preserve">dealstage = '1116419649'</t>
  </si>
  <si>
    <t xml:space="preserve">1116419650</t>
  </si>
  <si>
    <t xml:space="preserve">Closed Dead (Icalps_hardware)</t>
  </si>
  <si>
    <t xml:space="preserve">dealstage = '1116419650'</t>
  </si>
  <si>
    <t xml:space="preserve">1116652341</t>
  </si>
  <si>
    <t xml:space="preserve">On-Hold (Icalps_hardware)</t>
  </si>
  <si>
    <t xml:space="preserve">dealstage = '1116652341'</t>
  </si>
  <si>
    <t xml:space="preserve">1313738265</t>
  </si>
  <si>
    <t xml:space="preserve">Closed Lost (Icalps_hardware)</t>
  </si>
  <si>
    <t xml:space="preserve">dealstage = '1313738265'</t>
  </si>
  <si>
    <t xml:space="preserve">1437101470</t>
  </si>
  <si>
    <t xml:space="preserve">Identified (Quantum &amp; AI)</t>
  </si>
  <si>
    <t xml:space="preserve">pipeline_id=934982230</t>
  </si>
  <si>
    <t xml:space="preserve">dealstage = '1437101470'</t>
  </si>
  <si>
    <t xml:space="preserve">1437101471</t>
  </si>
  <si>
    <t xml:space="preserve">Qualified (Quantum &amp; AI)</t>
  </si>
  <si>
    <t xml:space="preserve">dealstage = '1437101471'</t>
  </si>
  <si>
    <t xml:space="preserve">1437101472</t>
  </si>
  <si>
    <t xml:space="preserve">Design In (Quantum &amp; AI)</t>
  </si>
  <si>
    <t xml:space="preserve">dealstage = '1437101472'</t>
  </si>
  <si>
    <t xml:space="preserve">1437101473</t>
  </si>
  <si>
    <t xml:space="preserve">Negociating (Quantum &amp; AI)</t>
  </si>
  <si>
    <t xml:space="preserve">dealstage = '1437101473'</t>
  </si>
  <si>
    <t xml:space="preserve">1437101474</t>
  </si>
  <si>
    <t xml:space="preserve">PO Sent (Quantum &amp; AI)</t>
  </si>
  <si>
    <t xml:space="preserve">dealstage = '1437101474'</t>
  </si>
  <si>
    <t xml:space="preserve">1437101475</t>
  </si>
  <si>
    <t xml:space="preserve">Closed Won (Quantum &amp; AI)</t>
  </si>
  <si>
    <t xml:space="preserve">dealstage = '1437101475'</t>
  </si>
  <si>
    <t xml:space="preserve">1437101476</t>
  </si>
  <si>
    <t xml:space="preserve">Closed Lost (Quantum &amp; AI)</t>
  </si>
  <si>
    <t xml:space="preserve">dealstage = '1437101476'</t>
  </si>
  <si>
    <t xml:space="preserve">OMIT</t>
  </si>
  <si>
    <t xml:space="preserve">Not forecasted</t>
  </si>
  <si>
    <t xml:space="preserve">hs_manual_forecast_category = 'OMIT'</t>
  </si>
  <si>
    <t xml:space="preserve">COMMIT</t>
  </si>
  <si>
    <t xml:space="preserve">Commit</t>
  </si>
  <si>
    <t xml:space="preserve">hs_manual_forecast_category = 'COMMIT'</t>
  </si>
  <si>
    <t xml:space="preserve">CLOSED</t>
  </si>
  <si>
    <t xml:space="preserve">Closed won</t>
  </si>
  <si>
    <t xml:space="preserve">hs_manual_forecast_category = 'CLOSED'</t>
  </si>
  <si>
    <t xml:space="preserve">previous_deal_status = 'N/A'</t>
  </si>
  <si>
    <t xml:space="preserve">Identified</t>
  </si>
  <si>
    <t xml:space="preserve">previous_deal_status = 'Identified'</t>
  </si>
  <si>
    <t xml:space="preserve">Qualified</t>
  </si>
  <si>
    <t xml:space="preserve">previous_deal_status = 'Qualified'</t>
  </si>
  <si>
    <t xml:space="preserve">Design In</t>
  </si>
  <si>
    <t xml:space="preserve">previous_deal_status = 'Design In'</t>
  </si>
  <si>
    <t xml:space="preserve">Closed Won</t>
  </si>
  <si>
    <t xml:space="preserve">previous_deal_status = 'Closed Won'</t>
  </si>
  <si>
    <t xml:space="preserve">Closed Lost</t>
  </si>
  <si>
    <t xml:space="preserve">previous_deal_status = 'Closed Lost'</t>
  </si>
  <si>
    <t xml:space="preserve">low</t>
  </si>
  <si>
    <t xml:space="preserve">Low</t>
  </si>
  <si>
    <t xml:space="preserve">hs_priority = 'low'</t>
  </si>
  <si>
    <t xml:space="preserve">medium</t>
  </si>
  <si>
    <t xml:space="preserve">Medium</t>
  </si>
  <si>
    <t xml:space="preserve">hs_priority = 'medium'</t>
  </si>
  <si>
    <t xml:space="preserve">high</t>
  </si>
  <si>
    <t xml:space="preserve">High</t>
  </si>
  <si>
    <t xml:space="preserve">hs_priority = 'high'</t>
  </si>
  <si>
    <t xml:space="preserve">Abandonnée</t>
  </si>
  <si>
    <t xml:space="preserve">Abandonné</t>
  </si>
  <si>
    <t xml:space="preserve">icalps_dealstatus = 'Abandonnée'</t>
  </si>
  <si>
    <t xml:space="preserve">In Progress</t>
  </si>
  <si>
    <t xml:space="preserve">icalps_dealstatus = 'In Progress'</t>
  </si>
  <si>
    <t xml:space="preserve">Lost</t>
  </si>
  <si>
    <t xml:space="preserve">icalps_dealstatus = 'Lost'</t>
  </si>
  <si>
    <t xml:space="preserve">NoGo</t>
  </si>
  <si>
    <t xml:space="preserve">icalps_dealstatus = 'NoGo'</t>
  </si>
  <si>
    <t xml:space="preserve">Won</t>
  </si>
  <si>
    <t xml:space="preserve">icalps_dealstatus = 'Won'</t>
  </si>
  <si>
    <t xml:space="preserve">01 - Identification</t>
  </si>
  <si>
    <t xml:space="preserve">icalps_stage = '01 - Identification'</t>
  </si>
  <si>
    <t xml:space="preserve">02 - Qualifiée</t>
  </si>
  <si>
    <t xml:space="preserve">icalps_stage = '02 - Qualifiée'</t>
  </si>
  <si>
    <t xml:space="preserve">03 - Evaluation technique</t>
  </si>
  <si>
    <t xml:space="preserve">icalps_stage = '03 - Evaluation technique'</t>
  </si>
  <si>
    <t xml:space="preserve">04 - Construction propositions</t>
  </si>
  <si>
    <t xml:space="preserve">icalps_stage = '04 - Construction propositions'</t>
  </si>
  <si>
    <t xml:space="preserve">05 - Négociations</t>
  </si>
  <si>
    <t xml:space="preserve">icalps_stage = '05 - Négociations'</t>
  </si>
  <si>
    <t xml:space="preserve">newbusiness</t>
  </si>
  <si>
    <t xml:space="preserve">Potential New Customer</t>
  </si>
  <si>
    <t xml:space="preserve">dealtype = 'newbusiness'</t>
  </si>
  <si>
    <t xml:space="preserve">existingbusiness</t>
  </si>
  <si>
    <t xml:space="preserve">Existing Customer - New Business</t>
  </si>
  <si>
    <t xml:space="preserve">dealtype = 'existingbusiness'</t>
  </si>
  <si>
    <t xml:space="preserve">existingbusinessre</t>
  </si>
  <si>
    <t xml:space="preserve">Existing Customer - Recurrent</t>
  </si>
  <si>
    <t xml:space="preserve">dealtype = 'existingbusinessre'</t>
  </si>
  <si>
    <t xml:space="preserve">true</t>
  </si>
  <si>
    <t xml:space="preserve">hs_is_closed = 'true'</t>
  </si>
  <si>
    <t xml:space="preserve">false</t>
  </si>
  <si>
    <t xml:space="preserve">hs_is_closed = 'false'</t>
  </si>
  <si>
    <t xml:space="preserve">hs_is_closed_won = 'true'</t>
  </si>
  <si>
    <t xml:space="preserve">hs_is_closed_won = 'false'</t>
  </si>
  <si>
    <t xml:space="preserve">hs_is_closed_lost = 'true'</t>
  </si>
  <si>
    <t xml:space="preserve">hs_is_closed_lost = 'false'</t>
  </si>
  <si>
    <t xml:space="preserve">hs_is_stalled = 'true'</t>
  </si>
  <si>
    <t xml:space="preserve">hs_is_stalled = 'false'</t>
  </si>
  <si>
    <t xml:space="preserve">Distributor</t>
  </si>
  <si>
    <t xml:space="preserve">opp_cust___channel_var__new_ = 'Distributor'</t>
  </si>
  <si>
    <t xml:space="preserve">Direct</t>
  </si>
  <si>
    <t xml:space="preserve">opp_cust___channel_var__new_ = 'Direct'</t>
  </si>
  <si>
    <t xml:space="preserve">Channel</t>
  </si>
  <si>
    <t xml:space="preserve">opp_cust___channel_var__new_ = 'Channel'</t>
  </si>
  <si>
    <t xml:space="preserve">Rep</t>
  </si>
  <si>
    <t xml:space="preserve">opp_cust___channel_var__new_ = 'Rep'</t>
  </si>
  <si>
    <t xml:space="preserve">Web</t>
  </si>
  <si>
    <t xml:space="preserve">opp_cust___channel_var__new_ = 'Web'</t>
  </si>
  <si>
    <t xml:space="preserve">SEALSQ</t>
  </si>
  <si>
    <t xml:space="preserve">icalps__sealsq = 'SEALSQ'</t>
  </si>
  <si>
    <t xml:space="preserve">IC'Alps</t>
  </si>
  <si>
    <t xml:space="preserve">icalps__sealsq = 'IC'Alps'</t>
  </si>
  <si>
    <t xml:space="preserve">EMEA</t>
  </si>
  <si>
    <t xml:space="preserve">sales_region = 'EMEA'</t>
  </si>
  <si>
    <t xml:space="preserve">APAC</t>
  </si>
  <si>
    <t xml:space="preserve">sales_region = 'APAC'</t>
  </si>
  <si>
    <t xml:space="preserve">NORAM</t>
  </si>
  <si>
    <t xml:space="preserve">sales_region = 'NORAM'</t>
  </si>
  <si>
    <t xml:space="preserve">TAIWAN</t>
  </si>
  <si>
    <t xml:space="preserve">sales_region = 'TAIWAN'</t>
  </si>
  <si>
    <t xml:space="preserve">Seal</t>
  </si>
  <si>
    <t xml:space="preserve">wisekey___seal = 'Seal'</t>
  </si>
  <si>
    <t xml:space="preserve">Wisekey</t>
  </si>
  <si>
    <t xml:space="preserve">wisekey___seal = 'Wisekey'</t>
  </si>
  <si>
    <t xml:space="preserve">Create</t>
  </si>
  <si>
    <t xml:space="preserve">quote_status = 'Create'</t>
  </si>
  <si>
    <t xml:space="preserve">Completed</t>
  </si>
  <si>
    <t xml:space="preserve">quote_status = 'Completed'</t>
  </si>
  <si>
    <t xml:space="preserve">revenue_state = 'Pipeline'</t>
  </si>
  <si>
    <t xml:space="preserve">Forecast</t>
  </si>
  <si>
    <t xml:space="preserve">revenue_state = 'Forecast'</t>
  </si>
  <si>
    <t xml:space="preserve">BIBA</t>
  </si>
  <si>
    <t xml:space="preserve">revenue_state = 'BIBA'</t>
  </si>
  <si>
    <t xml:space="preserve">military_application = 'Yes'</t>
  </si>
  <si>
    <t xml:space="preserve">military_application = 'No'</t>
  </si>
  <si>
    <t xml:space="preserve">vaultitrust_ = 'true'</t>
  </si>
  <si>
    <t xml:space="preserve">vaultitrust_ = 'false'</t>
  </si>
  <si>
    <t xml:space="preserve">YES</t>
  </si>
  <si>
    <t xml:space="preserve">pqc_required = 'YES'</t>
  </si>
  <si>
    <t xml:space="preserve">NO</t>
  </si>
  <si>
    <t xml:space="preserve">pqc_required = 'NO'</t>
  </si>
  <si>
    <t xml:space="preserve">Unknown</t>
  </si>
  <si>
    <t xml:space="preserve">pqc_required = 'Unknown'</t>
  </si>
  <si>
    <t xml:space="preserve">fips_required = 'No'</t>
  </si>
  <si>
    <t xml:space="preserve">fips_required = 'Yes'</t>
  </si>
  <si>
    <t xml:space="preserve">fips_required = 'Unknown'</t>
  </si>
  <si>
    <t xml:space="preserve">new_lead__ = 'YES'</t>
  </si>
  <si>
    <t xml:space="preserve">new_lead__ = 'NO'</t>
  </si>
  <si>
    <t xml:space="preserve">new_design_in__ = 'YES'</t>
  </si>
  <si>
    <t xml:space="preserve">new_design_in__ = 'NO'</t>
  </si>
  <si>
    <t xml:space="preserve">new_design_win__ = 'YES'</t>
  </si>
  <si>
    <t xml:space="preserve">new_design_win__ = 'NO'</t>
  </si>
  <si>
    <t xml:space="preserve">distributor_update__ = 'true'</t>
  </si>
  <si>
    <t xml:space="preserve">distributor_update__ = 'false'</t>
  </si>
  <si>
    <t xml:space="preserve">Competition</t>
  </si>
  <si>
    <t xml:space="preserve">Competition/Price Issue</t>
  </si>
  <si>
    <t xml:space="preserve">stratification_of_lost_deals = 'Competition'</t>
  </si>
  <si>
    <t xml:space="preserve">No Activity</t>
  </si>
  <si>
    <t xml:space="preserve">stratification_of_lost_deals = 'No Activity'</t>
  </si>
  <si>
    <t xml:space="preserve">Product Issue</t>
  </si>
  <si>
    <t xml:space="preserve">Competition/Product Issue</t>
  </si>
  <si>
    <t xml:space="preserve">stratification_of_lost_deals = 'Product Issue'</t>
  </si>
  <si>
    <t xml:space="preserve">End of Life/Stale Project</t>
  </si>
  <si>
    <t xml:space="preserve">stratification_of_lost_deals = 'End of Life/Stale Project'</t>
  </si>
  <si>
    <t xml:space="preserve">Other</t>
  </si>
  <si>
    <t xml:space="preserve">stratification_of_lost_deals = 'Other'</t>
  </si>
  <si>
    <t xml:space="preserve">stratification_of_lost_deals = 'Unknown'</t>
  </si>
  <si>
    <t xml:space="preserve">Salesman estimate</t>
  </si>
  <si>
    <t xml:space="preserve">forecast_source = 'Salesman estimate'</t>
  </si>
  <si>
    <t xml:space="preserve">Customer Conversation</t>
  </si>
  <si>
    <t xml:space="preserve">forecast_source = 'Customer Conversation'</t>
  </si>
  <si>
    <t xml:space="preserve">Customer Forecast</t>
  </si>
  <si>
    <t xml:space="preserve">forecast_source = 'Customer Forecast'</t>
  </si>
  <si>
    <t xml:space="preserve">Salesman update</t>
  </si>
  <si>
    <t xml:space="preserve">Sales Update/ PO/contractual delivery plan</t>
  </si>
  <si>
    <t xml:space="preserve">forecast_source = 'Salesman update'</t>
  </si>
  <si>
    <t xml:space="preserve">USD</t>
  </si>
  <si>
    <t xml:space="preserve">deal_currency_code = 'USD'</t>
  </si>
  <si>
    <t xml:space="preserve">EUR</t>
  </si>
  <si>
    <t xml:space="preserve">deal_currency_code = 'EUR'</t>
  </si>
  <si>
    <t xml:space="preserve">invoice_currency = 'EUR'</t>
  </si>
  <si>
    <t xml:space="preserve">invoice_currency = 'USD'</t>
  </si>
  <si>
    <t xml:space="preserve">29462792</t>
  </si>
  <si>
    <t xml:space="preserve">Thierry VILLARD</t>
  </si>
  <si>
    <t xml:space="preserve">62919224</t>
  </si>
  <si>
    <t xml:space="preserve">Marc Sanchez</t>
  </si>
  <si>
    <t xml:space="preserve">hubspot_owner_id = '62919224'</t>
  </si>
  <si>
    <t xml:space="preserve">62919259</t>
  </si>
  <si>
    <t xml:space="preserve">gweltas radenac</t>
  </si>
  <si>
    <t xml:space="preserve">hubspot_owner_id = '62919259'</t>
  </si>
  <si>
    <t xml:space="preserve">63386667</t>
  </si>
  <si>
    <t xml:space="preserve">Michael Rosenstein</t>
  </si>
  <si>
    <t xml:space="preserve">hubspot_owner_id = '63386667'</t>
  </si>
  <si>
    <t xml:space="preserve">64863027</t>
  </si>
  <si>
    <t xml:space="preserve">Loi Hoang</t>
  </si>
  <si>
    <t xml:space="preserve">hubspot_owner_id = '64863027'</t>
  </si>
  <si>
    <t xml:space="preserve">64863028</t>
  </si>
  <si>
    <t xml:space="preserve">Lee Vu</t>
  </si>
  <si>
    <t xml:space="preserve">hubspot_owner_id = '64863028'</t>
  </si>
  <si>
    <t xml:space="preserve">66906000</t>
  </si>
  <si>
    <t xml:space="preserve">Kevin Holmes</t>
  </si>
  <si>
    <t xml:space="preserve">hubspot_owner_id = '66906000'</t>
  </si>
  <si>
    <t xml:space="preserve">70108363</t>
  </si>
  <si>
    <t xml:space="preserve">Ruben Burdin</t>
  </si>
  <si>
    <t xml:space="preserve">hubspot_owner_id = '70108363'</t>
  </si>
  <si>
    <t xml:space="preserve">76175881</t>
  </si>
  <si>
    <t xml:space="preserve">Christopher Schwarm</t>
  </si>
  <si>
    <t xml:space="preserve">hubspot_owner_id = '76175881'</t>
  </si>
  <si>
    <t xml:space="preserve">78819009</t>
  </si>
  <si>
    <t xml:space="preserve">Alexander Moreira</t>
  </si>
  <si>
    <t xml:space="preserve">hubspot_owner_id = '78819009'</t>
  </si>
  <si>
    <t xml:space="preserve">79353440</t>
  </si>
  <si>
    <t xml:space="preserve">Loïc Hamon</t>
  </si>
  <si>
    <t xml:space="preserve">hubspot_owner_id = '79353440'</t>
  </si>
  <si>
    <t xml:space="preserve">80219899</t>
  </si>
  <si>
    <t xml:space="preserve">Charles Walton</t>
  </si>
  <si>
    <t xml:space="preserve">hubspot_owner_id = '80219899'</t>
  </si>
  <si>
    <t xml:space="preserve">82045380</t>
  </si>
  <si>
    <t xml:space="preserve">Sheng-Kai CHEN</t>
  </si>
  <si>
    <t xml:space="preserve">hubspot_owner_id = '82045380'</t>
  </si>
  <si>
    <t xml:space="preserve">82939931</t>
  </si>
  <si>
    <t xml:space="preserve">Vanessa LEGAY</t>
  </si>
  <si>
    <t xml:space="preserve">hubspot_owner_id = '82939931'</t>
  </si>
  <si>
    <t xml:space="preserve">84834752</t>
  </si>
  <si>
    <t xml:space="preserve">Dannia Roman</t>
  </si>
  <si>
    <t xml:space="preserve">hubspot_owner_id = '84834752'</t>
  </si>
  <si>
    <t xml:space="preserve">85917018</t>
  </si>
  <si>
    <t xml:space="preserve">Richard Venia</t>
  </si>
  <si>
    <t xml:space="preserve">hubspot_owner_id = '85917018'</t>
  </si>
  <si>
    <t xml:space="preserve">86947944</t>
  </si>
  <si>
    <t xml:space="preserve">Rolf Gobet</t>
  </si>
  <si>
    <t xml:space="preserve">hubspot_owner_id = '86947944'</t>
  </si>
  <si>
    <t xml:space="preserve">87605300</t>
  </si>
  <si>
    <t xml:space="preserve">Carlos Ballester Lafuente</t>
  </si>
  <si>
    <t xml:space="preserve">hubspot_owner_id = '87605300'</t>
  </si>
  <si>
    <t xml:space="preserve">88741005</t>
  </si>
  <si>
    <t xml:space="preserve">Christophe Gaillard</t>
  </si>
  <si>
    <t xml:space="preserve">hubspot_owner_id = '88741005'</t>
  </si>
  <si>
    <t xml:space="preserve">88741191</t>
  </si>
  <si>
    <t xml:space="preserve">Jean-Luc TRIOULEYRE</t>
  </si>
  <si>
    <t xml:space="preserve">hubspot_owner_id = '88741191'</t>
  </si>
  <si>
    <t xml:space="preserve">88795766</t>
  </si>
  <si>
    <t xml:space="preserve">Steve Clark</t>
  </si>
  <si>
    <t xml:space="preserve">hubspot_owner_id = '88795766'</t>
  </si>
  <si>
    <t xml:space="preserve">89283664</t>
  </si>
  <si>
    <t xml:space="preserve">Katsunori Miyahata</t>
  </si>
  <si>
    <t xml:space="preserve">hubspot_owner_id = '89283664'</t>
  </si>
  <si>
    <t xml:space="preserve">91468608</t>
  </si>
  <si>
    <t xml:space="preserve">Nagendra SATHYANARAYANA</t>
  </si>
  <si>
    <t xml:space="preserve">hubspot_owner_id = '91468608'</t>
  </si>
  <si>
    <t xml:space="preserve">92081232</t>
  </si>
  <si>
    <t xml:space="preserve">Carlos Moreno</t>
  </si>
  <si>
    <t xml:space="preserve">hubspot_owner_id = '92081232'</t>
  </si>
  <si>
    <t xml:space="preserve">92090369</t>
  </si>
  <si>
    <t xml:space="preserve">Max DE GROOT</t>
  </si>
  <si>
    <t xml:space="preserve">hubspot_owner_id = '92090369'</t>
  </si>
  <si>
    <t xml:space="preserve">92518776</t>
  </si>
  <si>
    <t xml:space="preserve">Anna Venekas</t>
  </si>
  <si>
    <t xml:space="preserve">hubspot_owner_id = '92518776'</t>
  </si>
  <si>
    <t xml:space="preserve">92989799</t>
  </si>
  <si>
    <t xml:space="preserve">lsistac@mantu.com</t>
  </si>
  <si>
    <t xml:space="preserve">hubspot_owner_id = '92989799'</t>
  </si>
  <si>
    <t xml:space="preserve">93058175</t>
  </si>
  <si>
    <t xml:space="preserve">Justyna Grabarczyk</t>
  </si>
  <si>
    <t xml:space="preserve">hubspot_owner_id = '93058175'</t>
  </si>
  <si>
    <t xml:space="preserve">93252694</t>
  </si>
  <si>
    <t xml:space="preserve">Breno Lima</t>
  </si>
  <si>
    <t xml:space="preserve">hubspot_owner_id = '93252694'</t>
  </si>
  <si>
    <t xml:space="preserve">93702497</t>
  </si>
  <si>
    <t xml:space="preserve">Mélanie Jalliffier-Talmat</t>
  </si>
  <si>
    <t xml:space="preserve">hubspot_owner_id = '93702497'</t>
  </si>
  <si>
    <t xml:space="preserve">95100948</t>
  </si>
  <si>
    <t xml:space="preserve">Koichi MORIOKA</t>
  </si>
  <si>
    <t xml:space="preserve">hubspot_owner_id = '95100948'</t>
  </si>
  <si>
    <t xml:space="preserve">95922386</t>
  </si>
  <si>
    <t xml:space="preserve">pfuentes@wisekey.com</t>
  </si>
  <si>
    <t xml:space="preserve">hubspot_owner_id = '95922386'</t>
  </si>
  <si>
    <t xml:space="preserve">96319970</t>
  </si>
  <si>
    <t xml:space="preserve">Jenna Emch</t>
  </si>
  <si>
    <t xml:space="preserve">hubspot_owner_id = '96319970'</t>
  </si>
  <si>
    <t xml:space="preserve">97351604</t>
  </si>
  <si>
    <t xml:space="preserve">Alexander Hirsch</t>
  </si>
  <si>
    <t xml:space="preserve">hubspot_owner_id = '97351604'</t>
  </si>
  <si>
    <t xml:space="preserve">97423250</t>
  </si>
  <si>
    <t xml:space="preserve">Thomas Dreano</t>
  </si>
  <si>
    <t xml:space="preserve">hubspot_owner_id = '97423250'</t>
  </si>
  <si>
    <t xml:space="preserve">98790758</t>
  </si>
  <si>
    <t xml:space="preserve">Franck Buonanno</t>
  </si>
  <si>
    <t xml:space="preserve">hubspot_owner_id = '98790758'</t>
  </si>
  <si>
    <t xml:space="preserve">98791059</t>
  </si>
  <si>
    <t xml:space="preserve">Angela Williams</t>
  </si>
  <si>
    <t xml:space="preserve">hubspot_owner_id = '98791059'</t>
  </si>
  <si>
    <t xml:space="preserve">106420117</t>
  </si>
  <si>
    <t xml:space="preserve">SEALSQ -</t>
  </si>
  <si>
    <t xml:space="preserve">hubspot_owner_id = '106420117'</t>
  </si>
  <si>
    <t xml:space="preserve">115790186</t>
  </si>
  <si>
    <t xml:space="preserve">Nathalie Verjus</t>
  </si>
  <si>
    <t xml:space="preserve">hubspot_owner_id = '115790186'</t>
  </si>
  <si>
    <t xml:space="preserve">157028373</t>
  </si>
  <si>
    <t xml:space="preserve">Will Pan</t>
  </si>
  <si>
    <t xml:space="preserve">hubspot_owner_id = '157028373'</t>
  </si>
  <si>
    <t xml:space="preserve">208893079</t>
  </si>
  <si>
    <t xml:space="preserve">Fabien Treillaud</t>
  </si>
  <si>
    <t xml:space="preserve">hubspot_owner_id = '208893079'</t>
  </si>
  <si>
    <t xml:space="preserve">250770466</t>
  </si>
  <si>
    <t xml:space="preserve">Antonin THUIA</t>
  </si>
  <si>
    <t xml:space="preserve">hubspot_owner_id = '250770466'</t>
  </si>
  <si>
    <t xml:space="preserve">295869563</t>
  </si>
  <si>
    <t xml:space="preserve">Thomas Jiang</t>
  </si>
  <si>
    <t xml:space="preserve">hubspot_owner_id = '295869563'</t>
  </si>
  <si>
    <t xml:space="preserve">328317052</t>
  </si>
  <si>
    <t xml:space="preserve">Raphael Bernard</t>
  </si>
  <si>
    <t xml:space="preserve">hubspot_owner_id = '328317052'</t>
  </si>
  <si>
    <t xml:space="preserve">354221939</t>
  </si>
  <si>
    <t xml:space="preserve">Hue Luong</t>
  </si>
  <si>
    <t xml:space="preserve">hubspot_owner_id = '354221939'</t>
  </si>
  <si>
    <t xml:space="preserve">372974154</t>
  </si>
  <si>
    <t xml:space="preserve">Véronique FAORO</t>
  </si>
  <si>
    <t xml:space="preserve">hubspot_owner_id = '372974154'</t>
  </si>
  <si>
    <t xml:space="preserve">975855252</t>
  </si>
  <si>
    <t xml:space="preserve">Eric Schneider</t>
  </si>
  <si>
    <t xml:space="preserve">hubspot_owner_id = '975855252'</t>
  </si>
  <si>
    <t xml:space="preserve">hs_all_collaborator_owner_ids = '29462792'</t>
  </si>
  <si>
    <t xml:space="preserve">hs_all_collaborator_owner_ids = '62919224'</t>
  </si>
  <si>
    <t xml:space="preserve">hs_all_collaborator_owner_ids = '62919259'</t>
  </si>
  <si>
    <t xml:space="preserve">hs_all_collaborator_owner_ids = '63386667'</t>
  </si>
  <si>
    <t xml:space="preserve">hs_all_collaborator_owner_ids = '64863027'</t>
  </si>
  <si>
    <t xml:space="preserve">hs_all_collaborator_owner_ids = '64863028'</t>
  </si>
  <si>
    <t xml:space="preserve">hs_all_collaborator_owner_ids = '66906000'</t>
  </si>
  <si>
    <t xml:space="preserve">hs_all_collaborator_owner_ids = '70108363'</t>
  </si>
  <si>
    <t xml:space="preserve">hs_all_collaborator_owner_ids = '76175881'</t>
  </si>
  <si>
    <t xml:space="preserve">hs_all_collaborator_owner_ids = '78819009'</t>
  </si>
  <si>
    <t xml:space="preserve">hs_all_collaborator_owner_ids = '79353440'</t>
  </si>
  <si>
    <t xml:space="preserve">hs_all_collaborator_owner_ids = '80219899'</t>
  </si>
  <si>
    <t xml:space="preserve">hs_all_collaborator_owner_ids = '82045380'</t>
  </si>
  <si>
    <t xml:space="preserve">hs_all_collaborator_owner_ids = '82939931'</t>
  </si>
  <si>
    <t xml:space="preserve">hs_all_collaborator_owner_ids = '84834752'</t>
  </si>
  <si>
    <t xml:space="preserve">hs_all_collaborator_owner_ids = '85917018'</t>
  </si>
  <si>
    <t xml:space="preserve">hs_all_collaborator_owner_ids = '86947944'</t>
  </si>
  <si>
    <t xml:space="preserve">hs_all_collaborator_owner_ids = '87605300'</t>
  </si>
  <si>
    <t xml:space="preserve">hs_all_collaborator_owner_ids = '88741005'</t>
  </si>
  <si>
    <t xml:space="preserve">hs_all_collaborator_owner_ids = '88741191'</t>
  </si>
  <si>
    <t xml:space="preserve">hs_all_collaborator_owner_ids = '88795766'</t>
  </si>
  <si>
    <t xml:space="preserve">hs_all_collaborator_owner_ids = '89283664'</t>
  </si>
  <si>
    <t xml:space="preserve">hs_all_collaborator_owner_ids = '91468608'</t>
  </si>
  <si>
    <t xml:space="preserve">hs_all_collaborator_owner_ids = '92081232'</t>
  </si>
  <si>
    <t xml:space="preserve">hs_all_collaborator_owner_ids = '92090369'</t>
  </si>
  <si>
    <t xml:space="preserve">hs_all_collaborator_owner_ids = '92518776'</t>
  </si>
  <si>
    <t xml:space="preserve">hs_all_collaborator_owner_ids = '92989799'</t>
  </si>
  <si>
    <t xml:space="preserve">hs_all_collaborator_owner_ids = '93058175'</t>
  </si>
  <si>
    <t xml:space="preserve">hs_all_collaborator_owner_ids = '93252694'</t>
  </si>
  <si>
    <t xml:space="preserve">hs_all_collaborator_owner_ids = '93702497'</t>
  </si>
  <si>
    <t xml:space="preserve">hs_all_collaborator_owner_ids = '95100948'</t>
  </si>
  <si>
    <t xml:space="preserve">hs_all_collaborator_owner_ids = '95922386'</t>
  </si>
  <si>
    <t xml:space="preserve">hs_all_collaborator_owner_ids = '96319970'</t>
  </si>
  <si>
    <t xml:space="preserve">hs_all_collaborator_owner_ids = '97351604'</t>
  </si>
  <si>
    <t xml:space="preserve">hs_all_collaborator_owner_ids = '97423250'</t>
  </si>
  <si>
    <t xml:space="preserve">hs_all_collaborator_owner_ids = '98790758'</t>
  </si>
  <si>
    <t xml:space="preserve">hs_all_collaborator_owner_ids = '98791059'</t>
  </si>
  <si>
    <t xml:space="preserve">hs_all_collaborator_owner_ids = '106420117'</t>
  </si>
  <si>
    <t xml:space="preserve">hs_all_collaborator_owner_ids = '115790186'</t>
  </si>
  <si>
    <t xml:space="preserve">hs_all_collaborator_owner_ids = '157028373'</t>
  </si>
  <si>
    <t xml:space="preserve">hs_all_collaborator_owner_ids = '208893079'</t>
  </si>
  <si>
    <t xml:space="preserve">hs_all_collaborator_owner_ids = '250770466'</t>
  </si>
  <si>
    <t xml:space="preserve">hs_all_collaborator_owner_ids = '295869563'</t>
  </si>
  <si>
    <t xml:space="preserve">hs_all_collaborator_owner_ids = '328317052'</t>
  </si>
  <si>
    <t xml:space="preserve">hs_all_collaborator_owner_ids = '354221939'</t>
  </si>
  <si>
    <t xml:space="preserve">hs_all_collaborator_owner_ids = '372974154'</t>
  </si>
  <si>
    <t xml:space="preserve">hs_all_collaborator_owner_ids = '975855252'</t>
  </si>
  <si>
    <t xml:space="preserve">2409488</t>
  </si>
  <si>
    <t xml:space="preserve">Marketing</t>
  </si>
  <si>
    <t xml:space="preserve">hubspot_team_id = '2409488'</t>
  </si>
  <si>
    <t xml:space="preserve">2669078</t>
  </si>
  <si>
    <t xml:space="preserve">IT</t>
  </si>
  <si>
    <t xml:space="preserve">hubspot_team_id = '2669078'</t>
  </si>
  <si>
    <t xml:space="preserve">2676541</t>
  </si>
  <si>
    <t xml:space="preserve">Sales Operations</t>
  </si>
  <si>
    <t xml:space="preserve">hubspot_team_id = '2676541'</t>
  </si>
  <si>
    <t xml:space="preserve">3605328</t>
  </si>
  <si>
    <t xml:space="preserve">Sales EMEA</t>
  </si>
  <si>
    <t xml:space="preserve">hubspot_team_id = '3605328'</t>
  </si>
  <si>
    <t xml:space="preserve">4245972</t>
  </si>
  <si>
    <t xml:space="preserve">Supply Chain</t>
  </si>
  <si>
    <t xml:space="preserve">hubspot_team_id = '4245972'</t>
  </si>
  <si>
    <t xml:space="preserve">4331717</t>
  </si>
  <si>
    <t xml:space="preserve">Product Management</t>
  </si>
  <si>
    <t xml:space="preserve">hubspot_team_id = '4331717'</t>
  </si>
  <si>
    <t xml:space="preserve">4331722</t>
  </si>
  <si>
    <t xml:space="preserve">Technical Sales (FAEs)</t>
  </si>
  <si>
    <t xml:space="preserve">hubspot_team_id = '4331722'</t>
  </si>
  <si>
    <t xml:space="preserve">5533707</t>
  </si>
  <si>
    <t xml:space="preserve">Sales NORAM</t>
  </si>
  <si>
    <t xml:space="preserve">hubspot_team_id = '5533707'</t>
  </si>
  <si>
    <t xml:space="preserve">5533710</t>
  </si>
  <si>
    <t xml:space="preserve">Sales APAC</t>
  </si>
  <si>
    <t xml:space="preserve">hubspot_team_id = '5533710'</t>
  </si>
  <si>
    <t xml:space="preserve">12954354</t>
  </si>
  <si>
    <t xml:space="preserve">ARESSY</t>
  </si>
  <si>
    <t xml:space="preserve">hubspot_team_id = '12954354'</t>
  </si>
  <si>
    <t xml:space="preserve">63735818</t>
  </si>
  <si>
    <t xml:space="preserve">IC'ALPS</t>
  </si>
  <si>
    <t xml:space="preserve">hubspot_team_id = '63735818'</t>
  </si>
  <si>
    <t xml:space="preserve">63735821</t>
  </si>
  <si>
    <t xml:space="preserve">SQ SALES</t>
  </si>
  <si>
    <t xml:space="preserve">hubspot_team_id = '63735821'</t>
  </si>
  <si>
    <t xml:space="preserve">63736694</t>
  </si>
  <si>
    <t xml:space="preserve">ST OPS</t>
  </si>
  <si>
    <t xml:space="preserve">hubspot_team_id = '63736694'</t>
  </si>
  <si>
    <t xml:space="preserve">64779445</t>
  </si>
  <si>
    <t xml:space="preserve">Full Sales</t>
  </si>
  <si>
    <t xml:space="preserve">hubspot_team_id = '64779445'</t>
  </si>
  <si>
    <t xml:space="preserve">70040171</t>
  </si>
  <si>
    <t xml:space="preserve">Sales Taiwan</t>
  </si>
  <si>
    <t xml:space="preserve">hubspot_team_id = '70040171'</t>
  </si>
  <si>
    <t xml:space="preserve">78924886</t>
  </si>
  <si>
    <t xml:space="preserve">hubspot_team_id = '78924886'</t>
  </si>
  <si>
    <t xml:space="preserve">icalps_companytype</t>
  </si>
  <si>
    <t xml:space="preserve">Prospect</t>
  </si>
  <si>
    <t xml:space="preserve">icalps_companytype = 'Prospect'</t>
  </si>
  <si>
    <t xml:space="preserve">Supplier</t>
  </si>
  <si>
    <t xml:space="preserve">icalps_companytype = 'Supplier'</t>
  </si>
  <si>
    <t xml:space="preserve">Customer</t>
  </si>
  <si>
    <t xml:space="preserve">icalps_companytype = 'Customer'</t>
  </si>
  <si>
    <t xml:space="preserve">Agent</t>
  </si>
  <si>
    <t xml:space="preserve">icalps_companytype = 'Agent'</t>
  </si>
  <si>
    <t xml:space="preserve">icalps_companystatus</t>
  </si>
  <si>
    <t xml:space="preserve">Active</t>
  </si>
  <si>
    <t xml:space="preserve">icalps_companystatus = 'Active'</t>
  </si>
  <si>
    <t xml:space="preserve">Inactive</t>
  </si>
  <si>
    <t xml:space="preserve">icalps_companystatus = 'Inactive'</t>
  </si>
  <si>
    <t xml:space="preserve">Closed</t>
  </si>
  <si>
    <t xml:space="preserve">icalps_companystatus = 'Closed'</t>
  </si>
  <si>
    <t xml:space="preserve">Archive</t>
  </si>
  <si>
    <t xml:space="preserve">icalps_companystatus = 'Archive'</t>
  </si>
  <si>
    <t xml:space="preserve">icalps_compsource</t>
  </si>
  <si>
    <t xml:space="preserve">Phone</t>
  </si>
  <si>
    <t xml:space="preserve">icalps_compsource = 'Phone'</t>
  </si>
  <si>
    <t xml:space="preserve">icalps_compsource = 'Web'</t>
  </si>
  <si>
    <t xml:space="preserve">Prospection</t>
  </si>
  <si>
    <t xml:space="preserve">icalps_compsource = 'Prospection'</t>
  </si>
  <si>
    <t xml:space="preserve">Salon</t>
  </si>
  <si>
    <t xml:space="preserve">icalps_compsource = 'Salon'</t>
  </si>
  <si>
    <t xml:space="preserve">Prospection LinkedIn</t>
  </si>
  <si>
    <t xml:space="preserve">icalps_compsource = 'Prospection LinkedIn'</t>
  </si>
  <si>
    <t xml:space="preserve">Prospection Medicen</t>
  </si>
  <si>
    <t xml:space="preserve">icalps_compsource = 'Prospection Medicen'</t>
  </si>
  <si>
    <t xml:space="preserve">EW</t>
  </si>
  <si>
    <t xml:space="preserve">icalps_compsource = 'EW'</t>
  </si>
  <si>
    <t xml:space="preserve">Prospection Medicalp</t>
  </si>
  <si>
    <t xml:space="preserve">icalps_compsource = 'Prospection Medicalp'</t>
  </si>
  <si>
    <t xml:space="preserve">Prospection startup ETHZ</t>
  </si>
  <si>
    <t xml:space="preserve">icalps_compsource = 'Prospection startup ETHZ'</t>
  </si>
  <si>
    <t xml:space="preserve">Prospection VC</t>
  </si>
  <si>
    <t xml:space="preserve">icalps_compsource = 'Prospection VC'</t>
  </si>
  <si>
    <t xml:space="preserve">ProspectionMedicalps</t>
  </si>
  <si>
    <t xml:space="preserve">icalps_compsource = 'ProspectionMedicalps'</t>
  </si>
  <si>
    <t xml:space="preserve">Electronica22</t>
  </si>
  <si>
    <t xml:space="preserve">icalps_compsource = 'Electronica22'</t>
  </si>
  <si>
    <t xml:space="preserve">Electronica 24</t>
  </si>
  <si>
    <t xml:space="preserve">icalps_compsource = 'Electronica 24'</t>
  </si>
  <si>
    <t xml:space="preserve">EW23</t>
  </si>
  <si>
    <t xml:space="preserve">icalps_compsource = 'EW23'</t>
  </si>
  <si>
    <t xml:space="preserve">icalps_comp_numemployees</t>
  </si>
  <si>
    <t xml:space="preserve">Upto20</t>
  </si>
  <si>
    <t xml:space="preserve">icalps_comp_numemployees = 'Upto20'</t>
  </si>
  <si>
    <t xml:space="preserve">20</t>
  </si>
  <si>
    <t xml:space="preserve">icalps_comp_numemployees = '20'</t>
  </si>
  <si>
    <t xml:space="preserve">21-50</t>
  </si>
  <si>
    <t xml:space="preserve">icalps_comp_numemployees = '21-50'</t>
  </si>
  <si>
    <t xml:space="preserve">51-100</t>
  </si>
  <si>
    <t xml:space="preserve">icalps_comp_numemployees = '51-100'</t>
  </si>
  <si>
    <t xml:space="preserve">101-200</t>
  </si>
  <si>
    <t xml:space="preserve">icalps_comp_numemployees = '101-200'</t>
  </si>
  <si>
    <t xml:space="preserve">201-500</t>
  </si>
  <si>
    <t xml:space="preserve">icalps_comp_numemployees = '201-500'</t>
  </si>
  <si>
    <t xml:space="preserve">501+</t>
  </si>
  <si>
    <t xml:space="preserve">icalps_comp_numemployees = '501+'</t>
  </si>
  <si>
    <t xml:space="preserve">icalps_comp_language</t>
  </si>
  <si>
    <t xml:space="preserve">FR</t>
  </si>
  <si>
    <t xml:space="preserve">icalps_comp_language = 'FR'</t>
  </si>
  <si>
    <t xml:space="preserve">INTER</t>
  </si>
  <si>
    <t xml:space="preserve">icalps_comp_language = 'INTER'</t>
  </si>
  <si>
    <t xml:space="preserve">icalps_industry_drill_down</t>
  </si>
  <si>
    <t xml:space="preserve">Aeronautique</t>
  </si>
  <si>
    <t xml:space="preserve">icalps_industry_drill_down = 'Aeronautique'</t>
  </si>
  <si>
    <t xml:space="preserve">icalps_industry_drill_down = 'Agent'</t>
  </si>
  <si>
    <t xml:space="preserve">Autre</t>
  </si>
  <si>
    <t xml:space="preserve">icalps_industry_drill_down = 'Autre'</t>
  </si>
  <si>
    <t xml:space="preserve">Consumer</t>
  </si>
  <si>
    <t xml:space="preserve">icalps_industry_drill_down = 'Consumer'</t>
  </si>
  <si>
    <t xml:space="preserve">Government</t>
  </si>
  <si>
    <t xml:space="preserve">icalps_industry_drill_down = 'Government'</t>
  </si>
  <si>
    <t xml:space="preserve">Industriel</t>
  </si>
  <si>
    <t xml:space="preserve">icalps_industry_drill_down = 'Industriel'</t>
  </si>
  <si>
    <t xml:space="preserve">IoT</t>
  </si>
  <si>
    <t xml:space="preserve">icalps_industry_drill_down = 'IoT'</t>
  </si>
  <si>
    <t xml:space="preserve">Medical</t>
  </si>
  <si>
    <t xml:space="preserve">icalps_industry_drill_down = 'Medical'</t>
  </si>
  <si>
    <t xml:space="preserve">Militaire</t>
  </si>
  <si>
    <t xml:space="preserve">icalps_industry_drill_down = 'Militaire'</t>
  </si>
  <si>
    <t xml:space="preserve">Recherche</t>
  </si>
  <si>
    <t xml:space="preserve">icalps_industry_drill_down = 'Recherche'</t>
  </si>
  <si>
    <t xml:space="preserve">Semiconducteur</t>
  </si>
  <si>
    <t xml:space="preserve">icalps_industry_drill_down = 'Semiconducteur'</t>
  </si>
  <si>
    <t xml:space="preserve">Spacial</t>
  </si>
  <si>
    <t xml:space="preserve">icalps_industry_drill_down = 'Spacial'</t>
  </si>
  <si>
    <t xml:space="preserve">Telecom</t>
  </si>
  <si>
    <t xml:space="preserve">icalps_industry_drill_down = 'Telecom'</t>
  </si>
  <si>
    <t xml:space="preserve">Transportation</t>
  </si>
  <si>
    <t xml:space="preserve">icalps_industry_drill_down = 'Transportation'</t>
  </si>
  <si>
    <t xml:space="preserve">Universite</t>
  </si>
  <si>
    <t xml:space="preserve">icalps_industry_drill_down = 'Universite'</t>
  </si>
  <si>
    <t xml:space="preserve">industry</t>
  </si>
  <si>
    <t xml:space="preserve">SEMICONDUCTORS</t>
  </si>
  <si>
    <t xml:space="preserve">Semiconductors</t>
  </si>
  <si>
    <t xml:space="preserve">industry = 'SEMICONDUCTORS'</t>
  </si>
  <si>
    <t xml:space="preserve">COMPUTER_NETWORK_SECURITY</t>
  </si>
  <si>
    <t xml:space="preserve">Computer &amp; Network Security</t>
  </si>
  <si>
    <t xml:space="preserve">industry = 'COMPUTER_NETWORK_SECURITY'</t>
  </si>
  <si>
    <t xml:space="preserve">DEFENSE_SPACE</t>
  </si>
  <si>
    <t xml:space="preserve">Defense &amp; Space</t>
  </si>
  <si>
    <t xml:space="preserve">industry = 'DEFENSE_SPACE'</t>
  </si>
  <si>
    <t xml:space="preserve">ELECTRICAL_ELECTRONIC_MANUFACTURING</t>
  </si>
  <si>
    <t xml:space="preserve">Electrical/Electronic Manufacturing</t>
  </si>
  <si>
    <t xml:space="preserve">industry = 'ELECTRICAL_ELECTRONIC_MANUFACTURING'</t>
  </si>
  <si>
    <t xml:space="preserve">TELECOMMUNICATIONS</t>
  </si>
  <si>
    <t xml:space="preserve">Telecommunications</t>
  </si>
  <si>
    <t xml:space="preserve">industry = 'TELECOMMUNICATIONS'</t>
  </si>
  <si>
    <t xml:space="preserve">INDUSTRIAL_AUTOMATION</t>
  </si>
  <si>
    <t xml:space="preserve">Industrial Automation</t>
  </si>
  <si>
    <t xml:space="preserve">industry = 'INDUSTRIAL_AUTOMATION'</t>
  </si>
  <si>
    <t xml:space="preserve">MEDICAL_DEVICES</t>
  </si>
  <si>
    <t xml:space="preserve">Medical Devices</t>
  </si>
  <si>
    <t xml:space="preserve">industry = 'MEDICAL_DEVICES'</t>
  </si>
  <si>
    <t xml:space="preserve">AUTOMOTIVE</t>
  </si>
  <si>
    <t xml:space="preserve">Automotive</t>
  </si>
  <si>
    <t xml:space="preserve">industry = 'AUTOMOTIVE'</t>
  </si>
  <si>
    <t xml:space="preserve">CONSUMER_ELECTRONICS</t>
  </si>
  <si>
    <t xml:space="preserve">Consumer Electronics</t>
  </si>
  <si>
    <t xml:space="preserve">industry = 'CONSUMER_ELECTRONICS'</t>
  </si>
  <si>
    <t xml:space="preserve">INFORMATION_TECHNOLOGY_AND_SERVICES</t>
  </si>
  <si>
    <t xml:space="preserve">Information Technology and Services</t>
  </si>
  <si>
    <t xml:space="preserve">industry = 'INFORMATION_TECHNOLOGY_AND_SERVICES'</t>
  </si>
  <si>
    <t xml:space="preserve">... (~150 HubSpot standard values, UPPER_SNAKE_CASE)</t>
  </si>
  <si>
    <t xml:space="preserve">see HubSpot standard industry list</t>
  </si>
  <si>
    <t xml:space="preserve">industry = '... (~150 HubSpot standard values, UPPER_SNAKE_CASE)'</t>
  </si>
  <si>
    <t xml:space="preserve">icalps_contactstatus</t>
  </si>
  <si>
    <t xml:space="preserve">active</t>
  </si>
  <si>
    <t xml:space="preserve">icalps_contactstatus = 'true'</t>
  </si>
  <si>
    <t xml:space="preserve">inactive</t>
  </si>
  <si>
    <t xml:space="preserve">icalps_contactstatus = 'false'</t>
  </si>
  <si>
    <t xml:space="preserve">is active</t>
  </si>
  <si>
    <t xml:space="preserve">icalps_contactstatus = 'active'</t>
  </si>
  <si>
    <t xml:space="preserve">is inactive</t>
  </si>
  <si>
    <t xml:space="preserve">icalps_contactstatus = 'inactive'</t>
  </si>
  <si>
    <t xml:space="preserve">hs_marketable_status</t>
  </si>
  <si>
    <t xml:space="preserve">Marketing contact</t>
  </si>
  <si>
    <t xml:space="preserve">hs_marketable_status = 'true'</t>
  </si>
  <si>
    <t xml:space="preserve">Non-marketing contact</t>
  </si>
  <si>
    <t xml:space="preserve">hs_marketable_status = 'false'</t>
  </si>
  <si>
    <t xml:space="preserve">email_valid</t>
  </si>
  <si>
    <t xml:space="preserve">email_valid = 'true'</t>
  </si>
  <si>
    <t xml:space="preserve">email_valid = 'false'</t>
  </si>
  <si>
    <t xml:space="preserve">hs_language</t>
  </si>
  <si>
    <t xml:space="preserve">en</t>
  </si>
  <si>
    <t xml:space="preserve">English</t>
  </si>
  <si>
    <t xml:space="preserve">hs_language = 'en'</t>
  </si>
  <si>
    <t xml:space="preserve">fr</t>
  </si>
  <si>
    <t xml:space="preserve">French</t>
  </si>
  <si>
    <t xml:space="preserve">hs_language = 'fr'</t>
  </si>
  <si>
    <t xml:space="preserve">de</t>
  </si>
  <si>
    <t xml:space="preserve">German</t>
  </si>
  <si>
    <t xml:space="preserve">hs_language = 'de'</t>
  </si>
  <si>
    <t xml:space="preserve">...</t>
  </si>
  <si>
    <t xml:space="preserve">ISO language codes (fr-ch, en-us, zh-tw ...)</t>
  </si>
  <si>
    <t xml:space="preserve">hs_language = '...'</t>
  </si>
  <si>
    <t xml:space="preserve">lifecyclestage</t>
  </si>
  <si>
    <t xml:space="preserve">subscriber</t>
  </si>
  <si>
    <t xml:space="preserve">Subscriber</t>
  </si>
  <si>
    <t xml:space="preserve">lifecyclestage = 'subscriber'</t>
  </si>
  <si>
    <t xml:space="preserve">lead</t>
  </si>
  <si>
    <t xml:space="preserve">Lead</t>
  </si>
  <si>
    <t xml:space="preserve">lifecyclestage = 'lead'</t>
  </si>
  <si>
    <t xml:space="preserve">marketingqualifiedlead</t>
  </si>
  <si>
    <t xml:space="preserve">Marketing Qualified Lead</t>
  </si>
  <si>
    <t xml:space="preserve">lifecyclestage = 'marketingqualifiedlead'</t>
  </si>
  <si>
    <t xml:space="preserve">salesqualifiedlead</t>
  </si>
  <si>
    <t xml:space="preserve">Sales Qualified Lead</t>
  </si>
  <si>
    <t xml:space="preserve">lifecyclestage = 'salesqualifiedlead'</t>
  </si>
  <si>
    <t xml:space="preserve">opportunity</t>
  </si>
  <si>
    <t xml:space="preserve">Opportunity</t>
  </si>
  <si>
    <t xml:space="preserve">lifecyclestage = 'opportunity'</t>
  </si>
  <si>
    <t xml:space="preserve">customer</t>
  </si>
  <si>
    <t xml:space="preserve">lifecyclestage = 'customer'</t>
  </si>
  <si>
    <t xml:space="preserve">evangelist</t>
  </si>
  <si>
    <t xml:space="preserve">Evangelist</t>
  </si>
  <si>
    <t xml:space="preserve">lifecyclestage = 'evangelist'</t>
  </si>
  <si>
    <t xml:space="preserve">other</t>
  </si>
  <si>
    <t xml:space="preserve">lifecyclestage = 'other'</t>
  </si>
  <si>
    <t xml:space="preserve">hs_lead_status</t>
  </si>
  <si>
    <t xml:space="preserve">NEW</t>
  </si>
  <si>
    <t xml:space="preserve">New</t>
  </si>
  <si>
    <t xml:space="preserve">hs_lead_status = 'NEW'</t>
  </si>
  <si>
    <t xml:space="preserve">OPEN</t>
  </si>
  <si>
    <t xml:space="preserve">Open</t>
  </si>
  <si>
    <t xml:space="preserve">hs_lead_status = 'OPEN'</t>
  </si>
  <si>
    <t xml:space="preserve">IN_PROGRESS</t>
  </si>
  <si>
    <t xml:space="preserve">hs_lead_status = 'IN_PROGRESS'</t>
  </si>
  <si>
    <t xml:space="preserve">OPEN_DEAL</t>
  </si>
  <si>
    <t xml:space="preserve">Open Deal</t>
  </si>
  <si>
    <t xml:space="preserve">hs_lead_status = 'OPEN_DEAL'</t>
  </si>
  <si>
    <t xml:space="preserve">UNQUALIFIED</t>
  </si>
  <si>
    <t xml:space="preserve">Unqualified</t>
  </si>
  <si>
    <t xml:space="preserve">hs_lead_status = 'UNQUALIFIED'</t>
  </si>
  <si>
    <t xml:space="preserve">CONNECTED</t>
  </si>
  <si>
    <t xml:space="preserve">Connected</t>
  </si>
  <si>
    <t xml:space="preserve">hs_lead_status = 'CONNECTED'</t>
  </si>
  <si>
    <t xml:space="preserve">hs_pipeline</t>
  </si>
  <si>
    <t xml:space="preserve">0</t>
  </si>
  <si>
    <t xml:space="preserve">Support Pipeline</t>
  </si>
  <si>
    <t xml:space="preserve">hs_pipeline = '0'</t>
  </si>
  <si>
    <t xml:space="preserve">820219545</t>
  </si>
  <si>
    <t xml:space="preserve">External</t>
  </si>
  <si>
    <t xml:space="preserve">hs_pipeline = '820219545'</t>
  </si>
  <si>
    <t xml:space="preserve">hs_pipeline_stage</t>
  </si>
  <si>
    <t xml:space="preserve">1</t>
  </si>
  <si>
    <t xml:space="preserve">New (Support Pipeline)</t>
  </si>
  <si>
    <t xml:space="preserve">hs_pipeline_stage = '1'</t>
  </si>
  <si>
    <t xml:space="preserve">2</t>
  </si>
  <si>
    <t xml:space="preserve">Waiting on contact (Support Pipeline)</t>
  </si>
  <si>
    <t xml:space="preserve">hs_pipeline_stage = '2'</t>
  </si>
  <si>
    <t xml:space="preserve">3</t>
  </si>
  <si>
    <t xml:space="preserve">Waiting on us (Support Pipeline)</t>
  </si>
  <si>
    <t xml:space="preserve">hs_pipeline_stage = '3'</t>
  </si>
  <si>
    <t xml:space="preserve">4</t>
  </si>
  <si>
    <t xml:space="preserve">Closed (Support Pipeline)</t>
  </si>
  <si>
    <t xml:space="preserve">hs_pipeline_stage = '4'</t>
  </si>
  <si>
    <t xml:space="preserve">1211682155</t>
  </si>
  <si>
    <t xml:space="preserve">New (External)</t>
  </si>
  <si>
    <t xml:space="preserve">hs_pipeline_stage = '1211682155'</t>
  </si>
  <si>
    <t xml:space="preserve">1211682156</t>
  </si>
  <si>
    <t xml:space="preserve">Waiting on contact (External)</t>
  </si>
  <si>
    <t xml:space="preserve">hs_pipeline_stage = '1211682156'</t>
  </si>
  <si>
    <t xml:space="preserve">1211682157</t>
  </si>
  <si>
    <t xml:space="preserve">Engaged (External)</t>
  </si>
  <si>
    <t xml:space="preserve">hs_pipeline_stage = '1211682157'</t>
  </si>
  <si>
    <t xml:space="preserve">1211682158</t>
  </si>
  <si>
    <t xml:space="preserve">Closed (External)</t>
  </si>
  <si>
    <t xml:space="preserve">hs_pipeline_stage = '1211682158'</t>
  </si>
  <si>
    <t xml:space="preserve">hs_ticket_priority</t>
  </si>
  <si>
    <t xml:space="preserve">LOW</t>
  </si>
  <si>
    <t xml:space="preserve">hs_ticket_priority = 'LOW'</t>
  </si>
  <si>
    <t xml:space="preserve">hs_ticket_priority = 'MEDIUM'</t>
  </si>
  <si>
    <t xml:space="preserve">hs_ticket_priority = 'HIGH'</t>
  </si>
  <si>
    <t xml:space="preserve">URGENT</t>
  </si>
  <si>
    <t xml:space="preserve">Urgent</t>
  </si>
  <si>
    <t xml:space="preserve">hs_ticket_priority = 'URGENT'</t>
  </si>
  <si>
    <t xml:space="preserve">hs_ticket_category</t>
  </si>
  <si>
    <t xml:space="preserve">PRODUCT_ISSUE</t>
  </si>
  <si>
    <t xml:space="preserve">Product issue</t>
  </si>
  <si>
    <t xml:space="preserve">hs_ticket_category = 'PRODUCT_ISSUE'</t>
  </si>
  <si>
    <t xml:space="preserve">BILLING_ISSUE</t>
  </si>
  <si>
    <t xml:space="preserve">Billing issue</t>
  </si>
  <si>
    <t xml:space="preserve">hs_ticket_category = 'BILLING_ISSUE'</t>
  </si>
  <si>
    <t xml:space="preserve">FEATURE_REQUEST</t>
  </si>
  <si>
    <t xml:space="preserve">Feature request</t>
  </si>
  <si>
    <t xml:space="preserve">hs_ticket_category = 'FEATURE_REQUEST'</t>
  </si>
  <si>
    <t xml:space="preserve">GENERAL_INQUIRY</t>
  </si>
  <si>
    <t xml:space="preserve">General inquiry</t>
  </si>
  <si>
    <t xml:space="preserve">hs_ticket_category = 'GENERAL_INQUIRY'</t>
  </si>
  <si>
    <t xml:space="preserve">ontology_section</t>
  </si>
  <si>
    <t xml:space="preserve">legacy_label (ICALPS/FR)</t>
  </si>
  <si>
    <t xml:space="preserve">hubspot_name</t>
  </si>
  <si>
    <t xml:space="preserve">live_status</t>
  </si>
  <si>
    <t xml:space="preserve">note</t>
  </si>
  <si>
    <t xml:space="preserve">enum_values</t>
  </si>
  <si>
    <t xml:space="preserve">DEAL (ontology 'Opportunity')</t>
  </si>
  <si>
    <t xml:space="preserve">For</t>
  </si>
  <si>
    <t xml:space="preserve">Société</t>
  </si>
  <si>
    <t xml:space="preserve">company_association</t>
  </si>
  <si>
    <t xml:space="preserve">foreign_key</t>
  </si>
  <si>
    <t xml:space="preserve">NOT FOUND in live portal</t>
  </si>
  <si>
    <t xml:space="preserve">Not a property. Use cross-object syntax COMPANY.name / associations.COMPANY</t>
  </si>
  <si>
    <t xml:space="preserve">Téléphone</t>
  </si>
  <si>
    <t xml:space="preserve">icalps_companyphone</t>
  </si>
  <si>
    <t xml:space="preserve">in ontology, not re-verified</t>
  </si>
  <si>
    <t xml:space="preserve">Contact</t>
  </si>
  <si>
    <t xml:space="preserve">contact_association</t>
  </si>
  <si>
    <t xml:space="preserve">Not a property. Use CONTACT.email / associations.CONTACT</t>
  </si>
  <si>
    <t xml:space="preserve">Computed fields</t>
  </si>
  <si>
    <t xml:space="preserve">Net Amount</t>
  </si>
  <si>
    <t xml:space="preserve">live-verified (name + type + enum)</t>
  </si>
  <si>
    <t xml:space="preserve">Net Weighted Amount</t>
  </si>
  <si>
    <t xml:space="preserve">Weighted Amount</t>
  </si>
  <si>
    <t xml:space="preserve">Amount &amp; pipeline</t>
  </si>
  <si>
    <t xml:space="preserve">Amount (deal currency)</t>
  </si>
  <si>
    <t xml:space="preserve">IcAlps stage</t>
  </si>
  <si>
    <t xml:space="preserve">IC'ALPS status</t>
  </si>
  <si>
    <t xml:space="preserve">Deal certainty</t>
  </si>
  <si>
    <t xml:space="preserve">Detail</t>
  </si>
  <si>
    <t xml:space="preserve">Description</t>
  </si>
  <si>
    <t xml:space="preserve">live-verified (name)</t>
  </si>
  <si>
    <t xml:space="preserve">Type</t>
  </si>
  <si>
    <t xml:space="preserve">Détail</t>
  </si>
  <si>
    <t xml:space="preserve">Coût</t>
  </si>
  <si>
    <t xml:space="preserve">Status &amp; dates</t>
  </si>
  <si>
    <t xml:space="preserve">Date d'ouverture</t>
  </si>
  <si>
    <t xml:space="preserve">Date de clôture</t>
  </si>
  <si>
    <t xml:space="preserve">Date de clôture effective</t>
  </si>
  <si>
    <t xml:space="preserve">icalps_EffectiveCloseDate</t>
  </si>
  <si>
    <t xml:space="preserve">Live name is icalps_closedate (label IcAlps_EffectiveCloseDate) — lowercase</t>
  </si>
  <si>
    <t xml:space="preserve">Responsable</t>
  </si>
  <si>
    <t xml:space="preserve">29462792=Thierry VILLARD | 62919224=Marc Sanchez | 62919259=gweltas radenac | 63386667=Michael Rosenstein | 64863027=Loi Hoang | 64863028=Lee Vu | 66906000=Kevin Holmes | 70108363=Ruben Burdin | 76175881=Christopher Schwarm | 78819009=Alexander Moreira | 79353440=Loïc Hamon | 80219899=Charles Walton | 82045380=Sheng-Kai CHEN | 82939931=Vanessa LEGAY | 84834752=Dannia Roman | 85917018=Richard Venia | 86947944=Rolf Gobet | 87605300=Carlos Ballester Lafuente | 88741005=Christophe Gaillard | 88741191=Jean-Luc TRIOULEYRE | 88795766=Steve Clark | 89283664=Katsunori Miyahata | 91468608=Nagendra SATHYANARAYANA | 92081232=Carlos Moreno | 92090369=Max DE GROOT | 92518776=Anna Venekas | 92989799=lsistac@mantu.com | 93058175=Justyna Grabarczyk | 93252694=Breno Lima | 93702497=Mélanie Jalliffier-Talmat | 95100948=Koichi MORIOKA | 95922386=pfuentes@wisekey.com | 96319970=Jenna Emch | 97351604=Alexander Hirsch | 97423250=Thomas Dreano | 98790758=Franck Buonanno | 98791059=Angela Williams | 106420117=SEALSQ - | 115790186=Nathalie Verjus | 157028373=Will Pan</t>
  </si>
  <si>
    <t xml:space="preserve">En-tête</t>
  </si>
  <si>
    <t xml:space="preserve">Nom de la société</t>
  </si>
  <si>
    <t xml:space="preserve">Type de société</t>
  </si>
  <si>
    <t xml:space="preserve">Prospect | Supplier | Customer | Agent</t>
  </si>
  <si>
    <t xml:space="preserve">Statut</t>
  </si>
  <si>
    <t xml:space="preserve">Active | Inactive | Closed | Archive</t>
  </si>
  <si>
    <t xml:space="preserve">Source (IcAlps)</t>
  </si>
  <si>
    <t xml:space="preserve">Phone | Web | Prospection | Salon | Prospection LinkedIn | Prospection Medicen | EW | Prospection Medicalp | Prospection startup ETHZ | Prospection VC | ProspectionMedicalps | Electronica22 | Electronica 24 | EW23</t>
  </si>
  <si>
    <t xml:space="preserve">Site web</t>
  </si>
  <si>
    <t xml:space="preserve">icalps_comp_website</t>
  </si>
  <si>
    <t xml:space="preserve">url</t>
  </si>
  <si>
    <t xml:space="preserve">SIRET</t>
  </si>
  <si>
    <t xml:space="preserve">[NOT IN HubSpot]</t>
  </si>
  <si>
    <t xml:space="preserve">—</t>
  </si>
  <si>
    <t xml:space="preserve">NOT IN HUBSPOT (per ontology)</t>
  </si>
  <si>
    <t xml:space="preserve">Catégorie comptable</t>
  </si>
  <si>
    <t xml:space="preserve">Langue</t>
  </si>
  <si>
    <t xml:space="preserve">FR | INTER</t>
  </si>
  <si>
    <t xml:space="preserve">Nombre d'employés (ICALPS)</t>
  </si>
  <si>
    <t xml:space="preserve">Upto20 | 20 | 21-50 | 51-100 | 101-200 | 201-500 | 501+</t>
  </si>
  <si>
    <t xml:space="preserve">Territoire (ICALPS)</t>
  </si>
  <si>
    <t xml:space="preserve">icalps_comp_territory</t>
  </si>
  <si>
    <t xml:space="preserve">Not found in live portal (no territory property surfaced by search)</t>
  </si>
  <si>
    <t xml:space="preserve">Secteur entreprise (ICALPS)</t>
  </si>
  <si>
    <t xml:space="preserve">icalps_company_sector</t>
  </si>
  <si>
    <t xml:space="preserve">Not found. Live candidates: comp_sector, market_segment, icalps_industry_drill_down, hs_industry_group</t>
  </si>
  <si>
    <t xml:space="preserve">CompanyAddress (ICALPS)</t>
  </si>
  <si>
    <t xml:space="preserve">icalps_companyaddress</t>
  </si>
  <si>
    <t xml:space="preserve">CompanyEmail (ICALPS)</t>
  </si>
  <si>
    <t xml:space="preserve">icalps_companyemail</t>
  </si>
  <si>
    <t xml:space="preserve">Contact principal (ICALPS)</t>
  </si>
  <si>
    <t xml:space="preserve">icalps_companyprimarycontact</t>
  </si>
  <si>
    <t xml:space="preserve">Industry drill-down (ICALPS)</t>
  </si>
  <si>
    <t xml:space="preserve">Aeronautique | Agent | Autre | Consumer | Government | Industriel | IoT | Medical | Militaire | Recherche | Semiconducteur | Spacial | Telecom | Transportation | Universite</t>
  </si>
  <si>
    <t xml:space="preserve">Industrie (HubSpot)</t>
  </si>
  <si>
    <t xml:space="preserve">SEMICONDUCTORS=Semiconductors | COMPUTER_NETWORK_SECURITY=Computer &amp; Network Security | DEFENSE_SPACE=Defense &amp; Space | ELECTRICAL_ELECTRONIC_MANUFACTURING=Electrical/Electronic Manufacturing | TELECOMMUNICATIONS=Telecommunications | INDUSTRIAL_AUTOMATION=Industrial Automation | MEDICAL_DEVICES=Medical Devices | AUTOMOTIVE=Automotive | CONSUMER_ELECTRONICS=Consumer Electronics | INFORMATION_TECHNOLOGY_AND_SERVICES=Information Technology and Services | ... (~150 HubSpot standard values, UPPER_SNAKE_CASE)=see HubSpot standard industry list</t>
  </si>
  <si>
    <t xml:space="preserve">Domaine (email web)</t>
  </si>
  <si>
    <t xml:space="preserve">domain</t>
  </si>
  <si>
    <t xml:space="preserve">Adresse de facturation</t>
  </si>
  <si>
    <t xml:space="preserve">Rue</t>
  </si>
  <si>
    <t xml:space="preserve">icalps_street_address</t>
  </si>
  <si>
    <t xml:space="preserve">Ville</t>
  </si>
  <si>
    <t xml:space="preserve">icalps_addresscity</t>
  </si>
  <si>
    <t xml:space="preserve">Région</t>
  </si>
  <si>
    <t xml:space="preserve">icalps_address_state</t>
  </si>
  <si>
    <t xml:space="preserve">Code postal</t>
  </si>
  <si>
    <t xml:space="preserve">icalps_address_postcode</t>
  </si>
  <si>
    <t xml:space="preserve">Pays</t>
  </si>
  <si>
    <t xml:space="preserve">icalps_address_country</t>
  </si>
  <si>
    <t xml:space="preserve">LinkedIn</t>
  </si>
  <si>
    <t xml:space="preserve">linkedin_company_page</t>
  </si>
  <si>
    <t xml:space="preserve">EXAMPLE PROMPTS → HubSQL</t>
  </si>
  <si>
    <t xml:space="preserve">Which company type is each account? (prospect/customer/supplier/agent)</t>
  </si>
  <si>
    <t xml:space="preserve">SELECT icalps_companytype, COUNT(*) FROM COMPANY GROUP BY icalps_companytype</t>
  </si>
  <si>
    <t xml:space="preserve">Active customers in the IoT segment?</t>
  </si>
  <si>
    <t xml:space="preserve">icalps_companystatus + icalps_industry_drill_down</t>
  </si>
  <si>
    <t xml:space="preserve">SELECT name FROM COMPANY WHERE icalps_companystatus = 'Active' AND icalps_industry_drill_down = 'IoT'</t>
  </si>
  <si>
    <t xml:space="preserve">Companies by HubSpot industry?</t>
  </si>
  <si>
    <t xml:space="preserve">SELECT industry, COUNT(*) FROM COMPANY GROUP BY industry</t>
  </si>
  <si>
    <t xml:space="preserve">Companies from the Electronica 24 show?</t>
  </si>
  <si>
    <t xml:space="preserve">SELECT name FROM COMPANY WHERE icalps_compsource = 'Electronica 24'</t>
  </si>
  <si>
    <t xml:space="preserve">Companies with 500+ employees owned by Marc Sanchez?</t>
  </si>
  <si>
    <t xml:space="preserve">icalps_comp_numemployees + hubspot_owner_id</t>
  </si>
  <si>
    <t xml:space="preserve">SELECT name FROM COMPANY WHERE icalps_comp_numemployees = '501+' AND hubspot_owner_id = '62919224'</t>
  </si>
  <si>
    <t xml:space="preserve">Companies in Germany with open deals?</t>
  </si>
  <si>
    <t xml:space="preserve">country + associations.DEAL</t>
  </si>
  <si>
    <t xml:space="preserve">SELECT name, country FROM COMPANY WHERE country = 'Germany' AND associations.DEAL IS NOT NULL</t>
  </si>
  <si>
    <t xml:space="preserve">Open deals with their company name (cross-object)</t>
  </si>
  <si>
    <t xml:space="preserve">COMPANY.name from DEAL</t>
  </si>
  <si>
    <t xml:space="preserve">LIVE-ONLY COMPANY FIELDS (found by search, not in ontology): comp_sector, market_segment, hs_industry_group, country, address, address2, zip, icalps_full_address, icalps_full_country, icalps_address_postcode_string, icalps_comp_primarypersonid, cc_icalps_full_address, location</t>
  </si>
  <si>
    <t xml:space="preserve">icalps_businessphone</t>
  </si>
  <si>
    <t xml:space="preserve">Téléphone mobile</t>
  </si>
  <si>
    <t xml:space="preserve">icalps_mobilephone</t>
  </si>
  <si>
    <t xml:space="preserve">linkedin_url</t>
  </si>
  <si>
    <t xml:space="preserve">E-mail</t>
  </si>
  <si>
    <t xml:space="preserve">email</t>
  </si>
  <si>
    <t xml:space="preserve">Prénom</t>
  </si>
  <si>
    <t xml:space="preserve">firstname</t>
  </si>
  <si>
    <t xml:space="preserve">Nom</t>
  </si>
  <si>
    <t xml:space="preserve">lastname</t>
  </si>
  <si>
    <t xml:space="preserve">Dénomination</t>
  </si>
  <si>
    <t xml:space="preserve">icalps_perstitle</t>
  </si>
  <si>
    <t xml:space="preserve">Fonction</t>
  </si>
  <si>
    <t xml:space="preserve">jobtitle</t>
  </si>
  <si>
    <t xml:space="preserve">true=active | false=inactive | active=is active | inactive=is inactive</t>
  </si>
  <si>
    <t xml:space="preserve">Exclu des communications marketing</t>
  </si>
  <si>
    <t xml:space="preserve">true=Marketing contact | false=Non-marketing contact</t>
  </si>
  <si>
    <t xml:space="preserve">E-mail valide</t>
  </si>
  <si>
    <t xml:space="preserve">Liste de diffusion</t>
  </si>
  <si>
    <t xml:space="preserve">[NOT IN HS]</t>
  </si>
  <si>
    <t xml:space="preserve">Salutation</t>
  </si>
  <si>
    <t xml:space="preserve">salutation</t>
  </si>
  <si>
    <t xml:space="preserve">Genre</t>
  </si>
  <si>
    <t xml:space="preserve">gender</t>
  </si>
  <si>
    <t xml:space="preserve">Département</t>
  </si>
  <si>
    <t xml:space="preserve">icalps_department</t>
  </si>
  <si>
    <t xml:space="preserve">Not found in live portal</t>
  </si>
  <si>
    <t xml:space="preserve">Langue (préférence HubSpot)</t>
  </si>
  <si>
    <t xml:space="preserve">en=English | fr=French | de=German | ...=ISO language codes (fr-ch, en-us, zh-tw ...)</t>
  </si>
  <si>
    <t xml:space="preserve">Langue (ICALPS texte)</t>
  </si>
  <si>
    <t xml:space="preserve">icalps_language</t>
  </si>
  <si>
    <t xml:space="preserve">Adresse</t>
  </si>
  <si>
    <t xml:space="preserve">address</t>
  </si>
  <si>
    <t xml:space="preserve">Ville (ICALPS)</t>
  </si>
  <si>
    <t xml:space="preserve">Région (champ city HS)</t>
  </si>
  <si>
    <t xml:space="preserve">city</t>
  </si>
  <si>
    <t xml:space="preserve">Téléphone professionnel</t>
  </si>
  <si>
    <t xml:space="preserve">zip</t>
  </si>
  <si>
    <t xml:space="preserve">Active contacts at customer companies?</t>
  </si>
  <si>
    <t xml:space="preserve">icalps_contactstatus + COMPANY.icalps_companytype</t>
  </si>
  <si>
    <t xml:space="preserve">SELECT firstname, lastname, email FROM CONTACT WHERE icalps_contactstatus = 'active' AND COMPANY.icalps_companytype = 'Customer'</t>
  </si>
  <si>
    <t xml:space="preserve">Contacts by lifecycle stage?</t>
  </si>
  <si>
    <t xml:space="preserve">Marketing contacts speaking French?</t>
  </si>
  <si>
    <t xml:space="preserve">hs_marketable_status + hs_language</t>
  </si>
  <si>
    <t xml:space="preserve">SELECT COUNT(*) FROM CONTACT WHERE hs_marketable_status = 'true' AND hs_language = 'fr'</t>
  </si>
  <si>
    <t xml:space="preserve">Contacts with an invalid email?</t>
  </si>
  <si>
    <t xml:space="preserve">SELECT email FROM CONTACT WHERE email_valid = 'false'</t>
  </si>
  <si>
    <t xml:space="preserve">Contacts with job title containing CTO?</t>
  </si>
  <si>
    <t xml:space="preserve">SELECT firstname, lastname, jobtitle FROM CONTACT WHERE jobtitle LIKE '%CTO%'</t>
  </si>
  <si>
    <t xml:space="preserve">Identité &amp; contenu</t>
  </si>
  <si>
    <t xml:space="preserve">ICALPS ticket id</t>
  </si>
  <si>
    <t xml:space="preserve">icalps_ticket_id</t>
  </si>
  <si>
    <t xml:space="preserve">Sujet</t>
  </si>
  <si>
    <t xml:space="preserve">subject</t>
  </si>
  <si>
    <t xml:space="preserve">Contenu</t>
  </si>
  <si>
    <t xml:space="preserve">content</t>
  </si>
  <si>
    <t xml:space="preserve">Pipeline HubSpot</t>
  </si>
  <si>
    <t xml:space="preserve">0=Support Pipeline | 820219545=External</t>
  </si>
  <si>
    <t xml:space="preserve">Stage pipeline</t>
  </si>
  <si>
    <t xml:space="preserve">1=New (Support Pipeline) | 2=Waiting on contact (Support Pipeline) | 3=Waiting on us (Support Pipeline) | 4=Closed (Support Pipeline) | 1211682155=New (External) | 1211682156=Waiting on contact (External) | 1211682157=Engaged (External) | 1211682158=Closed (External)</t>
  </si>
  <si>
    <t xml:space="preserve">Priorité ticket</t>
  </si>
  <si>
    <t xml:space="preserve">LOW=Low | MEDIUM=Medium | HIGH=High | URGENT=Urgent</t>
  </si>
  <si>
    <t xml:space="preserve">Dates</t>
  </si>
  <si>
    <t xml:space="preserve">Date de création</t>
  </si>
  <si>
    <t xml:space="preserve">closed_date</t>
  </si>
  <si>
    <t xml:space="preserve">ICALPS — cas</t>
  </si>
  <si>
    <t xml:space="preserve">Statut cas</t>
  </si>
  <si>
    <t xml:space="preserve">icalps_case_status</t>
  </si>
  <si>
    <t xml:space="preserve">Not found. Live ICALPS ticket props: icalps_ticketstage, icalps_ticketcasetype</t>
  </si>
  <si>
    <t xml:space="preserve">Stage cas</t>
  </si>
  <si>
    <t xml:space="preserve">icalps_case_stage</t>
  </si>
  <si>
    <t xml:space="preserve">Not found. Live: icalps_ticketstage</t>
  </si>
  <si>
    <t xml:space="preserve">Priorité cas</t>
  </si>
  <si>
    <t xml:space="preserve">icalps_case_priority</t>
  </si>
  <si>
    <t xml:space="preserve">Not found. Use hs_ticket_priority</t>
  </si>
  <si>
    <t xml:space="preserve">ICALPS — assignation</t>
  </si>
  <si>
    <t xml:space="preserve">Utilisateur assigné (id)</t>
  </si>
  <si>
    <t xml:space="preserve">icalps_assigned_user_id</t>
  </si>
  <si>
    <t xml:space="preserve">Not surfaced by search; verify or use hubspot_owner_id</t>
  </si>
  <si>
    <t xml:space="preserve">Utilisateur assigné (email)</t>
  </si>
  <si>
    <t xml:space="preserve">icalps_assigned_user_email</t>
  </si>
  <si>
    <t xml:space="preserve">Not surfaced by search</t>
  </si>
  <si>
    <t xml:space="preserve">Utilisateur assigné (nom)</t>
  </si>
  <si>
    <t xml:space="preserve">icalps_assigned_user_name</t>
  </si>
  <si>
    <t xml:space="preserve">ICALPS — société / contact</t>
  </si>
  <si>
    <t xml:space="preserve">Société (id)</t>
  </si>
  <si>
    <t xml:space="preserve">Live name is icalps_companyid (no underscore)</t>
  </si>
  <si>
    <t xml:space="preserve">Société (nom)</t>
  </si>
  <si>
    <t xml:space="preserve">icalps_company_name</t>
  </si>
  <si>
    <t xml:space="preserve">Live name is icalps_ticketcompanyname</t>
  </si>
  <si>
    <t xml:space="preserve">Société (site web)</t>
  </si>
  <si>
    <t xml:space="preserve">icalps_company_website</t>
  </si>
  <si>
    <t xml:space="preserve">Contact (id)</t>
  </si>
  <si>
    <t xml:space="preserve">Contact (prénom)</t>
  </si>
  <si>
    <t xml:space="preserve">icalps_contact_firstname</t>
  </si>
  <si>
    <t xml:space="preserve">Live name is icalps_ticketpersonfirstname</t>
  </si>
  <si>
    <t xml:space="preserve">Contact (nom)</t>
  </si>
  <si>
    <t xml:space="preserve">icalps_contact_lastname</t>
  </si>
  <si>
    <t xml:space="preserve">Live name is icalps_ticketpersonlastname</t>
  </si>
  <si>
    <t xml:space="preserve">Contact (email)</t>
  </si>
  <si>
    <t xml:space="preserve">icalps_contact_email</t>
  </si>
  <si>
    <t xml:space="preserve">Live name is icalps_ticketpersonemailaddress</t>
  </si>
  <si>
    <t xml:space="preserve">Open tickets by status?</t>
  </si>
  <si>
    <t xml:space="preserve">SELECT hs_pipeline_stage, COUNT(*) FROM TICKET WHERE hs_pipeline_stage != '4' AND hs_pipeline_stage != '1211682158' GROUP BY hs_pipeline_stage</t>
  </si>
  <si>
    <t xml:space="preserve">Urgent product-issue tickets?</t>
  </si>
  <si>
    <t xml:space="preserve">hs_ticket_priority + hs_ticket_category</t>
  </si>
  <si>
    <t xml:space="preserve">SELECT subject, createdate FROM TICKET WHERE hs_ticket_priority = 'URGENT' AND hs_ticket_category = 'PRODUCT_ISSUE'</t>
  </si>
  <si>
    <t xml:space="preserve">Tickets created per month in 2026?</t>
  </si>
  <si>
    <t xml:space="preserve">SELECT DATE_TRUNC(createdate, 'MONTH'), COUNT(*) FROM TICKET WHERE createdate BETWEEN '2026-01-01' AND '2026-12-31' GROUP BY DATE_TRUNC(createdate, 'MONTH')</t>
  </si>
  <si>
    <t xml:space="preserve">IC'Alps-origin tickets by legacy stage?</t>
  </si>
  <si>
    <t xml:space="preserve">is_icalps + icalps_ticketstage</t>
  </si>
  <si>
    <t xml:space="preserve">SELECT icalps_ticketstage, COUNT(*) FROM TICKET WHERE is_icalps = 'true' GROUP BY icalps_ticketstage</t>
  </si>
  <si>
    <t xml:space="preserve">LIVE ICALPS TICKET FIELDS (actual names): is_icalps, icalps_ticketpersonemailaddress, icalps_ticketpersonfirstname, icalps_ticketcompanyname, icalps_ticketpersonlastname, icalps_companyid, icalps_solutionnote, icalps_ticketupdated_date, icalps_contact_id, icalps_ticketcasetype, icalps_ticketstage</t>
  </si>
  <si>
    <t xml:space="preserve">CALL</t>
  </si>
  <si>
    <t xml:space="preserve">Call — contenu</t>
  </si>
  <si>
    <t xml:space="preserve">body_preview_truncated</t>
  </si>
  <si>
    <t xml:space="preserve">hs_body_preview</t>
  </si>
  <si>
    <t xml:space="preserve">call_notes</t>
  </si>
  <si>
    <t xml:space="preserve">hs_call_body</t>
  </si>
  <si>
    <t xml:space="preserve">html</t>
  </si>
  <si>
    <t xml:space="preserve">call_notes_preview</t>
  </si>
  <si>
    <t xml:space="preserve">call_title</t>
  </si>
  <si>
    <t xml:space="preserve">hs_call_title</t>
  </si>
  <si>
    <t xml:space="preserve">call_summary</t>
  </si>
  <si>
    <t xml:space="preserve">hs_call_summary</t>
  </si>
  <si>
    <t xml:space="preserve">Call — métadonnées</t>
  </si>
  <si>
    <t xml:space="preserve">call_source</t>
  </si>
  <si>
    <t xml:space="preserve">hs_call_source</t>
  </si>
  <si>
    <t xml:space="preserve">call_summary_execution_id</t>
  </si>
  <si>
    <t xml:space="preserve">hs_call_summary_execution_id</t>
  </si>
  <si>
    <t xml:space="preserve">call_transcript_audio_channel_count</t>
  </si>
  <si>
    <t xml:space="preserve">call_and_meeting_type</t>
  </si>
  <si>
    <t xml:space="preserve">hs_activity_type</t>
  </si>
  <si>
    <t xml:space="preserve">call_direction</t>
  </si>
  <si>
    <t xml:space="preserve">hs_call_direction</t>
  </si>
  <si>
    <t xml:space="preserve">call_duration</t>
  </si>
  <si>
    <t xml:space="preserve">hs_call_duration</t>
  </si>
  <si>
    <t xml:space="preserve">call_location</t>
  </si>
  <si>
    <t xml:space="preserve">hs_call_location</t>
  </si>
  <si>
    <t xml:space="preserve">call_outcome</t>
  </si>
  <si>
    <t xml:space="preserve">hs_call_disposition</t>
  </si>
  <si>
    <t xml:space="preserve">call_phone_number_source</t>
  </si>
  <si>
    <t xml:space="preserve">hs_call_phone_number_source</t>
  </si>
  <si>
    <t xml:space="preserve">call_routing_strategy_type</t>
  </si>
  <si>
    <t xml:space="preserve">hs_call_routing_strategy_type</t>
  </si>
  <si>
    <t xml:space="preserve">call_status</t>
  </si>
  <si>
    <t xml:space="preserve">hs_call_status</t>
  </si>
  <si>
    <t xml:space="preserve">call_suggested_next_actions</t>
  </si>
  <si>
    <t xml:space="preserve">hs_call_suggested_next_actions</t>
  </si>
  <si>
    <t xml:space="preserve">MEETING</t>
  </si>
  <si>
    <t xml:space="preserve">Meeting</t>
  </si>
  <si>
    <t xml:space="preserve">body_preview</t>
  </si>
  <si>
    <t xml:space="preserve">create_date</t>
  </si>
  <si>
    <t xml:space="preserve">hs_createdate</t>
  </si>
  <si>
    <t xml:space="preserve">follow_up_action</t>
  </si>
  <si>
    <t xml:space="preserve">hs_follow_up_action</t>
  </si>
  <si>
    <t xml:space="preserve">meeting_end_time</t>
  </si>
  <si>
    <t xml:space="preserve">hs_meeting_end_time</t>
  </si>
  <si>
    <t xml:space="preserve">meeting_location</t>
  </si>
  <si>
    <t xml:space="preserve">hs_meeting_location</t>
  </si>
  <si>
    <t xml:space="preserve">meeting_name</t>
  </si>
  <si>
    <t xml:space="preserve">hs_meeting_title</t>
  </si>
  <si>
    <t xml:space="preserve">meeting_outcome</t>
  </si>
  <si>
    <t xml:space="preserve">hs_meeting_outcome</t>
  </si>
  <si>
    <t xml:space="preserve">meeting_source</t>
  </si>
  <si>
    <t xml:space="preserve">hs_meeting_source</t>
  </si>
  <si>
    <t xml:space="preserve">NOTE</t>
  </si>
  <si>
    <t xml:space="preserve">Note</t>
  </si>
  <si>
    <t xml:space="preserve">activity_created_by</t>
  </si>
  <si>
    <t xml:space="preserve">hs_created_by</t>
  </si>
  <si>
    <t xml:space="preserve">note_body</t>
  </si>
  <si>
    <t xml:space="preserve">hs_note_body</t>
  </si>
  <si>
    <t xml:space="preserve">TASK</t>
  </si>
  <si>
    <t xml:space="preserve">Source record</t>
  </si>
  <si>
    <t xml:space="preserve">source (export label)</t>
  </si>
  <si>
    <t xml:space="preserve">hs_object_source</t>
  </si>
  <si>
    <t xml:space="preserve">source_id (export label)</t>
  </si>
  <si>
    <t xml:space="preserve">hs_object_source_id</t>
  </si>
  <si>
    <t xml:space="preserve">Planification</t>
  </si>
  <si>
    <t xml:space="preserve">start_date → due date</t>
  </si>
  <si>
    <t xml:space="preserve">hs_timestamp</t>
  </si>
  <si>
    <t xml:space="preserve">start_date_with_fallback → created</t>
  </si>
  <si>
    <t xml:space="preserve">target_duration</t>
  </si>
  <si>
    <t xml:space="preserve">Hiérarchie</t>
  </si>
  <si>
    <t xml:space="preserve">subtasks / parent</t>
  </si>
  <si>
    <t xml:space="preserve">hs_task_parent_task_id</t>
  </si>
  <si>
    <t xml:space="preserve">is subtask</t>
  </si>
  <si>
    <t xml:space="preserve">hs_task_is_sub_task</t>
  </si>
  <si>
    <t xml:space="preserve">boolean</t>
  </si>
  <si>
    <t xml:space="preserve">Contenu &amp; statut</t>
  </si>
  <si>
    <t xml:space="preserve">task_notes</t>
  </si>
  <si>
    <t xml:space="preserve">hs_task_body</t>
  </si>
  <si>
    <t xml:space="preserve">task_status</t>
  </si>
  <si>
    <t xml:space="preserve">hs_task_status</t>
  </si>
  <si>
    <t xml:space="preserve">task_title</t>
  </si>
  <si>
    <t xml:space="preserve">hs_task_subject</t>
  </si>
  <si>
    <t xml:space="preserve">task_type</t>
  </si>
  <si>
    <t xml:space="preserve">hs_task_type</t>
  </si>
  <si>
    <t xml:space="preserve">Analytique / calculés</t>
  </si>
  <si>
    <t xml:space="preserve">task_completion_count</t>
  </si>
  <si>
    <t xml:space="preserve">hs_task_completion_count</t>
  </si>
  <si>
    <t xml:space="preserve">task_family</t>
  </si>
  <si>
    <t xml:space="preserve">hs_task_family</t>
  </si>
  <si>
    <t xml:space="preserve">task_missed_due_date</t>
  </si>
  <si>
    <t xml:space="preserve">hs_task_missed_due_date</t>
  </si>
  <si>
    <t xml:space="preserve">Calls logged this month by outcome?</t>
  </si>
  <si>
    <t xml:space="preserve">Meetings by outcome this quarter?</t>
  </si>
  <si>
    <t xml:space="preserve">SELECT hs_meeting_outcome, COUNT(*) FROM MEETING WHERE hs_meeting_end_time BETWEEN '2026-07-01' AND '2026-09-30' GROUP BY hs_meeting_outcome</t>
  </si>
  <si>
    <t xml:space="preserve">Overdue tasks that missed their due date?</t>
  </si>
  <si>
    <t xml:space="preserve">hs_task_missed_due_date + hs_task_status</t>
  </si>
  <si>
    <t xml:space="preserve">SELECT hs_task_subject, hs_timestamp FROM TASK WHERE hs_task_missed_due_date = true AND hs_task_status != 'COMPLETED'</t>
  </si>
  <si>
    <t xml:space="preserve">Notes created last week?</t>
  </si>
  <si>
    <t xml:space="preserve">SELECT hs_note_body FROM NOTE WHERE hs_createdate BETWEEN '2026-09-07' AND '2026-09-13'</t>
  </si>
  <si>
    <t xml:space="preserve">topic</t>
  </si>
  <si>
    <t xml:space="preserve">FROM</t>
  </si>
  <si>
    <t xml:space="preserve">One object per query: DEAL, COMPANY, CONTACT, TICKET, CALL, MEETING, NOTE, TASK (upper-case). No JOIN / UNION / subqueries / CTEs.</t>
  </si>
  <si>
    <t xml:space="preserve">SELECT</t>
  </si>
  <si>
    <t xml:space="preserve">Plain property names only. NOT supported: DISTINCT, AS aliases, CASE WHEN, IF(), string functions (CONCAT/UPPER…), COALESCE.</t>
  </si>
  <si>
    <t xml:space="preserve">Identifier</t>
  </si>
  <si>
    <t xml:space="preserve">Record id is hs_object_id (never 'id').</t>
  </si>
  <si>
    <t xml:space="preserve">Money</t>
  </si>
  <si>
    <t xml:space="preserve">Aggregate on amount_in_home_currency / hs_projected_amount_in_home_currency. Display amount with deal_currency_code.</t>
  </si>
  <si>
    <t xml:space="preserve">WHERE ops</t>
  </si>
  <si>
    <t xml:space="preserve">Operators: =, !=, &lt;, &gt;, &lt;=, &gt;=, LIKE '%x%', IS NULL, IS NOT NULL, IN (...), BETWEEN 'YYYY-MM-DD' AND 'YYYY-MM-DD'.</t>
  </si>
  <si>
    <t xml:space="preserve">Booleans</t>
  </si>
  <si>
    <t xml:space="preserve">hs_is_closed = false / true (unquoted). Custom yes/no enums are quoted strings and case-sensitive ('YES', 'Yes', 'true').</t>
  </si>
  <si>
    <t xml:space="preserve">Enums</t>
  </si>
  <si>
    <t xml:space="preserve">Filter on the option VALUE, not the label (pipeline = '12096408', not 'SealSQ Hardware'; dealstage = '12096412').</t>
  </si>
  <si>
    <t xml:space="preserve">BETWEEN with date strings, not timestamps. DATE_TRUNC(prop, 'DAY'|'WEEK'|'MONTH'|'QUARTER'|'YEAR') in SELECT and GROUP BY.</t>
  </si>
  <si>
    <t xml:space="preserve">Aggregates</t>
  </si>
  <si>
    <t xml:space="preserve">COUNT(*), SUM, AVG, MIN, MAX, MEDIAN. No HAVING. No COUNT(DISTINCT x) → use GROUP BY x + COUNT(*).</t>
  </si>
  <si>
    <t xml:space="preserve">Cross-object</t>
  </si>
  <si>
    <t xml:space="preserve">SELECT COMPANY.name FROM DEAL … / WHERE COMPANY.industry = 'X'. Existence: WHERE associations.DEAL IS NOT NULL (WHERE only). Max 2 associated object types per query.</t>
  </si>
  <si>
    <t xml:space="preserve">Lists</t>
  </si>
  <si>
    <t xml:space="preserve">hs_crm_search.ilsListIds = 'LIST_ID' (cannot combine with aggregates/GROUP BY).</t>
  </si>
  <si>
    <t xml:space="preserve">Ownership</t>
  </si>
  <si>
    <t xml:space="preserve">'my/I/me' → hubspot_owner_id = '&lt;owner id&gt;' resolved from user details; otherwise the query covers the whole portal.</t>
  </si>
  <si>
    <t xml:space="preserve">Ordering</t>
  </si>
  <si>
    <t xml:space="preserve">ORDER BY col ASC|DESC, LIMIT n.</t>
  </si>
  <si>
    <t xml:space="preserve">Before querying</t>
  </si>
  <si>
    <t xml:space="preserve">Confirm names with search_properties; confirm enum values with get_properties; then query.</t>
  </si>
  <si>
    <t xml:space="preserve">prod___product_name_new_ (label shown)</t>
  </si>
  <si>
    <t xml:space="preserve">deals (live count)</t>
  </si>
  <si>
    <t xml:space="preserve">Unassigned</t>
  </si>
  <si>
    <t xml:space="preserve">ASIC (Undefined)</t>
  </si>
  <si>
    <t xml:space="preserve">VIC409 (QVault 409)</t>
  </si>
  <si>
    <t xml:space="preserve">Total deals in portal</t>
  </si>
  <si>
    <t xml:space="preserve">Share with no product assigned</t>
  </si>
  <si>
    <t xml:space="preserve">Source: SELECT prod___product_name_new_, COUNT(*) FROM DEAL GROUP BY prod___product_name_new_ — run 2026-09-14</t>
  </si>
  <si>
    <t xml:space="preserve">query / call</t>
  </si>
  <si>
    <t xml:space="preserve">result</t>
  </si>
  <si>
    <t xml:space="preserve">SELECT prod___product_name_new_, COUNT(*) FROM DEAL GROUP BY prod___product_name_new_ ORDER BY COUNT(*) DESC</t>
  </si>
  <si>
    <t xml:space="preserve">OK — 36 groups. QVault TPM IOT = 32, QVault TPM = 82, Unassigned = 822 (see Product Distribution sheet)</t>
  </si>
  <si>
    <t xml:space="preserve">2026-09-14</t>
  </si>
  <si>
    <t xml:space="preserve">Breeze (ask_breeze) free-text: 'number of qvault tpm + iot associated deals'</t>
  </si>
  <si>
    <t xml:space="preserve">Returned 2 — matched on dealname pattern (Option/Alcom …, Ozone - IoT Gateway - QVault TPM 183). Under-count vs property-based 32.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</si>
</sst>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35.0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3.85" hidden="false" customHeight="false" outlineLevel="0" collapsed="false">
      <c r="A2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9" min="8" style="0" width="36"/>
    <col collapsed="false" customWidth="true" hidden="false" outlineLevel="0" max="11" min="10" style="0" width="60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 customFormat="false" ht="46.25" hidden="false" customHeight="fals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6" t="s">
        <v>40</v>
      </c>
      <c r="K2" s="5" t="s">
        <v>41</v>
      </c>
    </row>
    <row r="3" customFormat="false" ht="32.8" hidden="false" customHeight="false" outlineLevel="0" collapsed="false">
      <c r="A3" s="5" t="s">
        <v>42</v>
      </c>
      <c r="B3" s="5" t="s">
        <v>43</v>
      </c>
      <c r="C3" s="5" t="s">
        <v>44</v>
      </c>
      <c r="D3" s="5" t="s">
        <v>34</v>
      </c>
      <c r="E3" s="5" t="s">
        <v>45</v>
      </c>
      <c r="F3" s="5" t="s">
        <v>46</v>
      </c>
      <c r="G3" s="5" t="s">
        <v>37</v>
      </c>
      <c r="H3" s="5" t="s">
        <v>47</v>
      </c>
      <c r="I3" s="5" t="s">
        <v>48</v>
      </c>
      <c r="J3" s="6" t="s">
        <v>49</v>
      </c>
      <c r="K3" s="5" t="s">
        <v>50</v>
      </c>
    </row>
    <row r="4" customFormat="false" ht="32.8" hidden="false" customHeight="false" outlineLevel="0" collapsed="false">
      <c r="A4" s="5" t="s">
        <v>51</v>
      </c>
      <c r="B4" s="5" t="s">
        <v>52</v>
      </c>
      <c r="C4" s="5" t="s">
        <v>53</v>
      </c>
      <c r="D4" s="5" t="s">
        <v>34</v>
      </c>
      <c r="E4" s="5" t="s">
        <v>54</v>
      </c>
      <c r="F4" s="5" t="s">
        <v>55</v>
      </c>
      <c r="G4" s="5" t="s">
        <v>37</v>
      </c>
      <c r="H4" s="5" t="s">
        <v>56</v>
      </c>
      <c r="I4" s="5" t="s">
        <v>57</v>
      </c>
      <c r="J4" s="6" t="s">
        <v>58</v>
      </c>
      <c r="K4" s="5" t="s">
        <v>59</v>
      </c>
    </row>
    <row r="5" customFormat="false" ht="23.85" hidden="false" customHeight="false" outlineLevel="0" collapsed="false">
      <c r="A5" s="5" t="s">
        <v>60</v>
      </c>
      <c r="B5" s="5" t="s">
        <v>61</v>
      </c>
      <c r="C5" s="5" t="s">
        <v>62</v>
      </c>
      <c r="D5" s="5" t="s">
        <v>34</v>
      </c>
      <c r="E5" s="5" t="s">
        <v>63</v>
      </c>
      <c r="F5" s="5" t="s">
        <v>64</v>
      </c>
      <c r="G5" s="5" t="s">
        <v>37</v>
      </c>
      <c r="H5" s="5" t="s">
        <v>65</v>
      </c>
      <c r="I5" s="5" t="s">
        <v>66</v>
      </c>
      <c r="J5" s="6" t="s">
        <v>67</v>
      </c>
      <c r="K5" s="5" t="s">
        <v>68</v>
      </c>
    </row>
    <row r="6" customFormat="false" ht="22.35" hidden="false" customHeight="false" outlineLevel="0" collapsed="false">
      <c r="A6" s="5" t="s">
        <v>69</v>
      </c>
      <c r="B6" s="5" t="s">
        <v>70</v>
      </c>
      <c r="C6" s="5" t="s">
        <v>71</v>
      </c>
      <c r="D6" s="5" t="s">
        <v>34</v>
      </c>
      <c r="E6" s="5" t="s">
        <v>72</v>
      </c>
      <c r="F6" s="5" t="s">
        <v>73</v>
      </c>
      <c r="G6" s="5" t="s">
        <v>74</v>
      </c>
      <c r="H6" s="5" t="s">
        <v>75</v>
      </c>
      <c r="I6" s="5"/>
      <c r="J6" s="6" t="s">
        <v>76</v>
      </c>
      <c r="K6" s="5" t="s">
        <v>77</v>
      </c>
    </row>
    <row r="7" customFormat="false" ht="57.45" hidden="false" customHeight="false" outlineLevel="0" collapsed="false">
      <c r="A7" s="5" t="s">
        <v>78</v>
      </c>
      <c r="B7" s="5" t="s">
        <v>79</v>
      </c>
      <c r="C7" s="5" t="s">
        <v>80</v>
      </c>
      <c r="D7" s="5" t="s">
        <v>34</v>
      </c>
      <c r="E7" s="5" t="s">
        <v>81</v>
      </c>
      <c r="F7" s="5" t="s">
        <v>82</v>
      </c>
      <c r="G7" s="5" t="s">
        <v>37</v>
      </c>
      <c r="H7" s="5" t="s">
        <v>83</v>
      </c>
      <c r="I7" s="5" t="s">
        <v>84</v>
      </c>
      <c r="J7" s="6" t="s">
        <v>85</v>
      </c>
      <c r="K7" s="5" t="s">
        <v>86</v>
      </c>
    </row>
    <row r="8" customFormat="false" ht="46.25" hidden="false" customHeight="false" outlineLevel="0" collapsed="false">
      <c r="A8" s="5" t="s">
        <v>87</v>
      </c>
      <c r="B8" s="5" t="s">
        <v>88</v>
      </c>
      <c r="C8" s="5" t="s">
        <v>89</v>
      </c>
      <c r="D8" s="5" t="s">
        <v>34</v>
      </c>
      <c r="E8" s="5" t="s">
        <v>90</v>
      </c>
      <c r="F8" s="5" t="s">
        <v>91</v>
      </c>
      <c r="G8" s="5" t="s">
        <v>37</v>
      </c>
      <c r="H8" s="5" t="s">
        <v>92</v>
      </c>
      <c r="I8" s="5" t="s">
        <v>93</v>
      </c>
      <c r="J8" s="6" t="s">
        <v>94</v>
      </c>
      <c r="K8" s="5" t="s">
        <v>95</v>
      </c>
    </row>
    <row r="9" customFormat="false" ht="35.05" hidden="false" customHeight="false" outlineLevel="0" collapsed="false">
      <c r="A9" s="5" t="s">
        <v>96</v>
      </c>
      <c r="B9" s="5" t="s">
        <v>97</v>
      </c>
      <c r="C9" s="5" t="s">
        <v>98</v>
      </c>
      <c r="D9" s="5" t="s">
        <v>34</v>
      </c>
      <c r="E9" s="5" t="s">
        <v>99</v>
      </c>
      <c r="F9" s="5" t="s">
        <v>100</v>
      </c>
      <c r="G9" s="5" t="s">
        <v>37</v>
      </c>
      <c r="H9" s="5" t="s">
        <v>101</v>
      </c>
      <c r="I9" s="5" t="s">
        <v>102</v>
      </c>
      <c r="J9" s="6" t="s">
        <v>103</v>
      </c>
      <c r="K9" s="5" t="s">
        <v>104</v>
      </c>
    </row>
    <row r="10" customFormat="false" ht="32.8" hidden="false" customHeight="false" outlineLevel="0" collapsed="false">
      <c r="A10" s="5" t="s">
        <v>105</v>
      </c>
      <c r="B10" s="5" t="s">
        <v>106</v>
      </c>
      <c r="C10" s="5" t="s">
        <v>107</v>
      </c>
      <c r="D10" s="5" t="s">
        <v>34</v>
      </c>
      <c r="E10" s="5" t="s">
        <v>108</v>
      </c>
      <c r="F10" s="5" t="s">
        <v>100</v>
      </c>
      <c r="G10" s="5" t="s">
        <v>37</v>
      </c>
      <c r="H10" s="5" t="s">
        <v>109</v>
      </c>
      <c r="I10" s="5" t="s">
        <v>110</v>
      </c>
      <c r="J10" s="6" t="s">
        <v>111</v>
      </c>
      <c r="K10" s="5" t="s">
        <v>112</v>
      </c>
    </row>
    <row r="11" customFormat="false" ht="46.25" hidden="false" customHeight="false" outlineLevel="0" collapsed="false">
      <c r="A11" s="5" t="s">
        <v>113</v>
      </c>
      <c r="B11" s="5" t="s">
        <v>114</v>
      </c>
      <c r="C11" s="5" t="s">
        <v>115</v>
      </c>
      <c r="D11" s="5" t="s">
        <v>34</v>
      </c>
      <c r="E11" s="5" t="s">
        <v>116</v>
      </c>
      <c r="F11" s="5" t="s">
        <v>117</v>
      </c>
      <c r="G11" s="5" t="s">
        <v>37</v>
      </c>
      <c r="H11" s="5" t="s">
        <v>118</v>
      </c>
      <c r="I11" s="5" t="s">
        <v>119</v>
      </c>
      <c r="J11" s="6" t="s">
        <v>120</v>
      </c>
      <c r="K11" s="5" t="s">
        <v>121</v>
      </c>
    </row>
    <row r="12" customFormat="false" ht="35.05" hidden="false" customHeight="false" outlineLevel="0" collapsed="false">
      <c r="A12" s="5" t="s">
        <v>122</v>
      </c>
      <c r="B12" s="5" t="s">
        <v>123</v>
      </c>
      <c r="C12" s="5" t="s">
        <v>124</v>
      </c>
      <c r="D12" s="5" t="s">
        <v>34</v>
      </c>
      <c r="E12" s="5" t="s">
        <v>125</v>
      </c>
      <c r="F12" s="5" t="s">
        <v>126</v>
      </c>
      <c r="G12" s="5" t="s">
        <v>37</v>
      </c>
      <c r="H12" s="5" t="s">
        <v>127</v>
      </c>
      <c r="I12" s="5" t="s">
        <v>128</v>
      </c>
      <c r="J12" s="6" t="s">
        <v>129</v>
      </c>
      <c r="K12" s="5" t="s">
        <v>130</v>
      </c>
    </row>
    <row r="13" customFormat="false" ht="46.25" hidden="false" customHeight="false" outlineLevel="0" collapsed="false">
      <c r="A13" s="5" t="s">
        <v>131</v>
      </c>
      <c r="B13" s="5" t="s">
        <v>132</v>
      </c>
      <c r="C13" s="5" t="s">
        <v>133</v>
      </c>
      <c r="D13" s="5" t="s">
        <v>34</v>
      </c>
      <c r="E13" s="5" t="s">
        <v>134</v>
      </c>
      <c r="F13" s="5" t="s">
        <v>126</v>
      </c>
      <c r="G13" s="5" t="s">
        <v>37</v>
      </c>
      <c r="H13" s="5" t="s">
        <v>135</v>
      </c>
      <c r="I13" s="5" t="s">
        <v>136</v>
      </c>
      <c r="J13" s="6" t="s">
        <v>137</v>
      </c>
      <c r="K13" s="5" t="s">
        <v>138</v>
      </c>
    </row>
    <row r="14" customFormat="false" ht="35.05" hidden="false" customHeight="false" outlineLevel="0" collapsed="false">
      <c r="A14" s="5" t="s">
        <v>139</v>
      </c>
      <c r="B14" s="5" t="s">
        <v>140</v>
      </c>
      <c r="C14" s="5" t="s">
        <v>141</v>
      </c>
      <c r="D14" s="5" t="s">
        <v>34</v>
      </c>
      <c r="E14" s="5" t="s">
        <v>142</v>
      </c>
      <c r="F14" s="5" t="s">
        <v>143</v>
      </c>
      <c r="G14" s="5" t="s">
        <v>144</v>
      </c>
      <c r="H14" s="5" t="s">
        <v>145</v>
      </c>
      <c r="I14" s="5" t="s">
        <v>146</v>
      </c>
      <c r="J14" s="6" t="s">
        <v>147</v>
      </c>
      <c r="K14" s="5" t="s">
        <v>148</v>
      </c>
    </row>
    <row r="15" customFormat="false" ht="32.8" hidden="false" customHeight="false" outlineLevel="0" collapsed="false">
      <c r="A15" s="5" t="s">
        <v>149</v>
      </c>
      <c r="B15" s="5" t="s">
        <v>150</v>
      </c>
      <c r="C15" s="5" t="s">
        <v>151</v>
      </c>
      <c r="D15" s="5" t="s">
        <v>34</v>
      </c>
      <c r="E15" s="5" t="s">
        <v>152</v>
      </c>
      <c r="F15" s="5" t="s">
        <v>64</v>
      </c>
      <c r="G15" s="5" t="s">
        <v>37</v>
      </c>
      <c r="H15" s="5" t="s">
        <v>153</v>
      </c>
      <c r="I15" s="5"/>
      <c r="J15" s="6" t="s">
        <v>154</v>
      </c>
      <c r="K15" s="5" t="s">
        <v>155</v>
      </c>
    </row>
    <row r="16" customFormat="false" ht="22.35" hidden="false" customHeight="false" outlineLevel="0" collapsed="false">
      <c r="A16" s="5" t="s">
        <v>156</v>
      </c>
      <c r="B16" s="5" t="s">
        <v>157</v>
      </c>
      <c r="C16" s="5" t="s">
        <v>158</v>
      </c>
      <c r="D16" s="5" t="s">
        <v>34</v>
      </c>
      <c r="E16" s="5" t="s">
        <v>159</v>
      </c>
      <c r="F16" s="5" t="s">
        <v>64</v>
      </c>
      <c r="G16" s="5" t="s">
        <v>37</v>
      </c>
      <c r="H16" s="5" t="s">
        <v>152</v>
      </c>
      <c r="I16" s="5"/>
      <c r="J16" s="6" t="s">
        <v>160</v>
      </c>
      <c r="K16" s="5" t="s">
        <v>161</v>
      </c>
    </row>
    <row r="17" customFormat="false" ht="32.8" hidden="false" customHeight="false" outlineLevel="0" collapsed="false">
      <c r="A17" s="5" t="s">
        <v>162</v>
      </c>
      <c r="B17" s="5" t="s">
        <v>163</v>
      </c>
      <c r="C17" s="5" t="s">
        <v>164</v>
      </c>
      <c r="D17" s="5" t="s">
        <v>34</v>
      </c>
      <c r="E17" s="5" t="s">
        <v>165</v>
      </c>
      <c r="F17" s="5" t="s">
        <v>166</v>
      </c>
      <c r="G17" s="5" t="s">
        <v>37</v>
      </c>
      <c r="H17" s="5" t="s">
        <v>167</v>
      </c>
      <c r="I17" s="5" t="s">
        <v>168</v>
      </c>
      <c r="J17" s="6" t="s">
        <v>169</v>
      </c>
      <c r="K17" s="5" t="s">
        <v>170</v>
      </c>
    </row>
    <row r="18" customFormat="false" ht="23.85" hidden="false" customHeight="false" outlineLevel="0" collapsed="false">
      <c r="A18" s="5" t="s">
        <v>171</v>
      </c>
      <c r="B18" s="5" t="s">
        <v>172</v>
      </c>
      <c r="C18" s="5" t="s">
        <v>173</v>
      </c>
      <c r="D18" s="5" t="s">
        <v>34</v>
      </c>
      <c r="E18" s="5" t="s">
        <v>174</v>
      </c>
      <c r="F18" s="5" t="s">
        <v>64</v>
      </c>
      <c r="G18" s="5" t="s">
        <v>37</v>
      </c>
      <c r="H18" s="5" t="s">
        <v>175</v>
      </c>
      <c r="I18" s="5" t="s">
        <v>176</v>
      </c>
      <c r="J18" s="6" t="s">
        <v>177</v>
      </c>
      <c r="K18" s="5" t="s">
        <v>178</v>
      </c>
    </row>
    <row r="19" customFormat="false" ht="23.85" hidden="false" customHeight="false" outlineLevel="0" collapsed="false">
      <c r="A19" s="5" t="s">
        <v>179</v>
      </c>
      <c r="B19" s="5" t="s">
        <v>180</v>
      </c>
      <c r="C19" s="5" t="s">
        <v>181</v>
      </c>
      <c r="D19" s="5" t="s">
        <v>34</v>
      </c>
      <c r="E19" s="5" t="s">
        <v>175</v>
      </c>
      <c r="F19" s="5" t="s">
        <v>64</v>
      </c>
      <c r="G19" s="5" t="s">
        <v>37</v>
      </c>
      <c r="H19" s="5" t="s">
        <v>182</v>
      </c>
      <c r="I19" s="5"/>
      <c r="J19" s="6" t="s">
        <v>183</v>
      </c>
      <c r="K19" s="5" t="s">
        <v>184</v>
      </c>
    </row>
    <row r="20" customFormat="false" ht="23.85" hidden="false" customHeight="false" outlineLevel="0" collapsed="false">
      <c r="A20" s="5" t="s">
        <v>185</v>
      </c>
      <c r="B20" s="5" t="s">
        <v>186</v>
      </c>
      <c r="C20" s="5" t="s">
        <v>187</v>
      </c>
      <c r="D20" s="5" t="s">
        <v>34</v>
      </c>
      <c r="E20" s="5" t="s">
        <v>188</v>
      </c>
      <c r="F20" s="5" t="s">
        <v>189</v>
      </c>
      <c r="G20" s="5" t="s">
        <v>37</v>
      </c>
      <c r="H20" s="5" t="s">
        <v>190</v>
      </c>
      <c r="I20" s="5" t="s">
        <v>191</v>
      </c>
      <c r="J20" s="6" t="s">
        <v>192</v>
      </c>
      <c r="K20" s="5" t="s">
        <v>193</v>
      </c>
    </row>
    <row r="21" customFormat="false" ht="35.05" hidden="false" customHeight="false" outlineLevel="0" collapsed="false">
      <c r="A21" s="5" t="s">
        <v>194</v>
      </c>
      <c r="B21" s="5" t="s">
        <v>195</v>
      </c>
      <c r="C21" s="5" t="s">
        <v>196</v>
      </c>
      <c r="D21" s="5" t="s">
        <v>34</v>
      </c>
      <c r="E21" s="5" t="s">
        <v>197</v>
      </c>
      <c r="F21" s="5" t="s">
        <v>73</v>
      </c>
      <c r="G21" s="5" t="s">
        <v>198</v>
      </c>
      <c r="H21" s="5" t="s">
        <v>199</v>
      </c>
      <c r="I21" s="5"/>
      <c r="J21" s="6" t="s">
        <v>200</v>
      </c>
      <c r="K21" s="5" t="s">
        <v>201</v>
      </c>
    </row>
    <row r="22" customFormat="false" ht="23.85" hidden="false" customHeight="false" outlineLevel="0" collapsed="false">
      <c r="A22" s="5" t="s">
        <v>202</v>
      </c>
      <c r="B22" s="5" t="s">
        <v>203</v>
      </c>
      <c r="C22" s="5" t="s">
        <v>204</v>
      </c>
      <c r="D22" s="5" t="s">
        <v>34</v>
      </c>
      <c r="E22" s="5" t="s">
        <v>205</v>
      </c>
      <c r="F22" s="5" t="s">
        <v>64</v>
      </c>
      <c r="G22" s="5" t="s">
        <v>37</v>
      </c>
      <c r="H22" s="5" t="s">
        <v>206</v>
      </c>
      <c r="I22" s="5"/>
      <c r="J22" s="6" t="s">
        <v>207</v>
      </c>
      <c r="K22" s="5" t="s">
        <v>208</v>
      </c>
    </row>
    <row r="23" customFormat="false" ht="23.85" hidden="false" customHeight="false" outlineLevel="0" collapsed="false">
      <c r="A23" s="5" t="s">
        <v>209</v>
      </c>
      <c r="B23" s="5" t="s">
        <v>210</v>
      </c>
      <c r="C23" s="5" t="s">
        <v>211</v>
      </c>
      <c r="D23" s="5" t="s">
        <v>34</v>
      </c>
      <c r="E23" s="5" t="s">
        <v>212</v>
      </c>
      <c r="F23" s="5" t="s">
        <v>64</v>
      </c>
      <c r="G23" s="5" t="s">
        <v>37</v>
      </c>
      <c r="H23" s="5" t="s">
        <v>81</v>
      </c>
      <c r="I23" s="5" t="s">
        <v>213</v>
      </c>
      <c r="J23" s="6" t="s">
        <v>214</v>
      </c>
      <c r="K23" s="5" t="s">
        <v>215</v>
      </c>
    </row>
    <row r="24" customFormat="false" ht="35.05" hidden="false" customHeight="false" outlineLevel="0" collapsed="false">
      <c r="A24" s="5" t="s">
        <v>216</v>
      </c>
      <c r="B24" s="5" t="s">
        <v>217</v>
      </c>
      <c r="C24" s="5" t="s">
        <v>218</v>
      </c>
      <c r="D24" s="5" t="s">
        <v>34</v>
      </c>
      <c r="E24" s="5" t="s">
        <v>219</v>
      </c>
      <c r="F24" s="5" t="s">
        <v>220</v>
      </c>
      <c r="G24" s="5" t="s">
        <v>37</v>
      </c>
      <c r="H24" s="5"/>
      <c r="I24" s="5" t="s">
        <v>221</v>
      </c>
      <c r="J24" s="6" t="s">
        <v>222</v>
      </c>
      <c r="K24" s="5" t="s">
        <v>223</v>
      </c>
    </row>
    <row r="25" customFormat="false" ht="79.85" hidden="false" customHeight="false" outlineLevel="0" collapsed="false">
      <c r="A25" s="5" t="s">
        <v>224</v>
      </c>
      <c r="B25" s="5" t="s">
        <v>225</v>
      </c>
      <c r="C25" s="5" t="s">
        <v>226</v>
      </c>
      <c r="D25" s="5" t="s">
        <v>34</v>
      </c>
      <c r="E25" s="5" t="s">
        <v>227</v>
      </c>
      <c r="F25" s="5" t="s">
        <v>228</v>
      </c>
      <c r="G25" s="5" t="s">
        <v>37</v>
      </c>
      <c r="H25" s="5" t="s">
        <v>229</v>
      </c>
      <c r="I25" s="5" t="s">
        <v>230</v>
      </c>
      <c r="J25" s="6" t="s">
        <v>231</v>
      </c>
      <c r="K25" s="5" t="s">
        <v>232</v>
      </c>
    </row>
    <row r="26" customFormat="false" ht="32.8" hidden="false" customHeight="false" outlineLevel="0" collapsed="false">
      <c r="A26" s="5" t="s">
        <v>233</v>
      </c>
      <c r="B26" s="5" t="s">
        <v>234</v>
      </c>
      <c r="C26" s="5" t="s">
        <v>235</v>
      </c>
      <c r="D26" s="5" t="s">
        <v>34</v>
      </c>
      <c r="E26" s="5" t="s">
        <v>236</v>
      </c>
      <c r="F26" s="5" t="s">
        <v>237</v>
      </c>
      <c r="G26" s="5" t="s">
        <v>37</v>
      </c>
      <c r="H26" s="5" t="s">
        <v>238</v>
      </c>
      <c r="I26" s="5"/>
      <c r="J26" s="6" t="s">
        <v>239</v>
      </c>
      <c r="K26" s="5" t="s">
        <v>240</v>
      </c>
    </row>
    <row r="27" customFormat="false" ht="32.8" hidden="false" customHeight="false" outlineLevel="0" collapsed="false">
      <c r="A27" s="5" t="s">
        <v>241</v>
      </c>
      <c r="B27" s="5" t="s">
        <v>242</v>
      </c>
      <c r="C27" s="5" t="s">
        <v>243</v>
      </c>
      <c r="D27" s="5" t="s">
        <v>34</v>
      </c>
      <c r="E27" s="5" t="s">
        <v>244</v>
      </c>
      <c r="F27" s="5" t="s">
        <v>73</v>
      </c>
      <c r="G27" s="5" t="s">
        <v>37</v>
      </c>
      <c r="H27" s="5" t="s">
        <v>245</v>
      </c>
      <c r="I27" s="5"/>
      <c r="J27" s="6" t="s">
        <v>246</v>
      </c>
      <c r="K27" s="5" t="s">
        <v>247</v>
      </c>
    </row>
    <row r="28" customFormat="false" ht="32.8" hidden="false" customHeight="false" outlineLevel="0" collapsed="false">
      <c r="A28" s="5" t="s">
        <v>248</v>
      </c>
      <c r="B28" s="5" t="s">
        <v>249</v>
      </c>
      <c r="C28" s="5" t="s">
        <v>250</v>
      </c>
      <c r="D28" s="5" t="s">
        <v>34</v>
      </c>
      <c r="E28" s="5" t="s">
        <v>251</v>
      </c>
      <c r="F28" s="5" t="s">
        <v>73</v>
      </c>
      <c r="G28" s="5" t="s">
        <v>37</v>
      </c>
      <c r="H28" s="5" t="s">
        <v>252</v>
      </c>
      <c r="I28" s="5"/>
      <c r="J28" s="6" t="s">
        <v>253</v>
      </c>
      <c r="K28" s="5" t="s">
        <v>254</v>
      </c>
    </row>
    <row r="29" customFormat="false" ht="32.8" hidden="false" customHeight="false" outlineLevel="0" collapsed="false">
      <c r="A29" s="5" t="s">
        <v>255</v>
      </c>
      <c r="B29" s="5" t="s">
        <v>256</v>
      </c>
      <c r="C29" s="5" t="s">
        <v>257</v>
      </c>
      <c r="D29" s="5" t="s">
        <v>34</v>
      </c>
      <c r="E29" s="5" t="s">
        <v>258</v>
      </c>
      <c r="F29" s="5" t="s">
        <v>73</v>
      </c>
      <c r="G29" s="5" t="s">
        <v>37</v>
      </c>
      <c r="H29" s="5" t="s">
        <v>259</v>
      </c>
      <c r="I29" s="5"/>
      <c r="J29" s="6" t="s">
        <v>260</v>
      </c>
      <c r="K29" s="5" t="s">
        <v>261</v>
      </c>
    </row>
    <row r="30" customFormat="false" ht="22.35" hidden="false" customHeight="false" outlineLevel="0" collapsed="false">
      <c r="A30" s="5" t="s">
        <v>262</v>
      </c>
      <c r="B30" s="5" t="s">
        <v>263</v>
      </c>
      <c r="C30" s="5" t="s">
        <v>264</v>
      </c>
      <c r="D30" s="5" t="s">
        <v>34</v>
      </c>
      <c r="E30" s="5" t="s">
        <v>265</v>
      </c>
      <c r="F30" s="5" t="s">
        <v>73</v>
      </c>
      <c r="G30" s="5" t="s">
        <v>37</v>
      </c>
      <c r="H30" s="5" t="s">
        <v>266</v>
      </c>
      <c r="I30" s="5"/>
      <c r="J30" s="6" t="s">
        <v>267</v>
      </c>
      <c r="K30" s="5" t="s">
        <v>268</v>
      </c>
    </row>
    <row r="31" customFormat="false" ht="22.35" hidden="false" customHeight="false" outlineLevel="0" collapsed="false">
      <c r="A31" s="5" t="s">
        <v>269</v>
      </c>
      <c r="B31" s="5" t="s">
        <v>270</v>
      </c>
      <c r="C31" s="5" t="s">
        <v>271</v>
      </c>
      <c r="D31" s="5" t="s">
        <v>34</v>
      </c>
      <c r="E31" s="5" t="s">
        <v>272</v>
      </c>
      <c r="F31" s="5" t="s">
        <v>64</v>
      </c>
      <c r="G31" s="5" t="s">
        <v>37</v>
      </c>
      <c r="H31" s="5" t="s">
        <v>152</v>
      </c>
      <c r="I31" s="5"/>
      <c r="J31" s="6" t="s">
        <v>273</v>
      </c>
      <c r="K31" s="5" t="s">
        <v>274</v>
      </c>
    </row>
    <row r="32" customFormat="false" ht="22.35" hidden="false" customHeight="false" outlineLevel="0" collapsed="false">
      <c r="A32" s="5" t="s">
        <v>275</v>
      </c>
      <c r="B32" s="5" t="s">
        <v>276</v>
      </c>
      <c r="C32" s="5" t="s">
        <v>277</v>
      </c>
      <c r="D32" s="5" t="s">
        <v>34</v>
      </c>
      <c r="E32" s="5" t="s">
        <v>278</v>
      </c>
      <c r="F32" s="5" t="s">
        <v>64</v>
      </c>
      <c r="G32" s="5" t="s">
        <v>37</v>
      </c>
      <c r="H32" s="5"/>
      <c r="I32" s="5"/>
      <c r="J32" s="6" t="s">
        <v>279</v>
      </c>
      <c r="K32" s="5" t="s">
        <v>280</v>
      </c>
    </row>
    <row r="33" customFormat="false" ht="23.85" hidden="false" customHeight="false" outlineLevel="0" collapsed="false">
      <c r="A33" s="5" t="s">
        <v>281</v>
      </c>
      <c r="B33" s="5" t="s">
        <v>282</v>
      </c>
      <c r="C33" s="5" t="s">
        <v>283</v>
      </c>
      <c r="D33" s="5" t="s">
        <v>34</v>
      </c>
      <c r="E33" s="5" t="s">
        <v>284</v>
      </c>
      <c r="F33" s="5" t="s">
        <v>73</v>
      </c>
      <c r="G33" s="5" t="s">
        <v>37</v>
      </c>
      <c r="H33" s="5" t="s">
        <v>285</v>
      </c>
      <c r="I33" s="5"/>
      <c r="J33" s="6" t="s">
        <v>286</v>
      </c>
      <c r="K33" s="5" t="s">
        <v>287</v>
      </c>
    </row>
    <row r="34" customFormat="false" ht="23.85" hidden="false" customHeight="false" outlineLevel="0" collapsed="false">
      <c r="A34" s="5" t="s">
        <v>288</v>
      </c>
      <c r="B34" s="5" t="s">
        <v>289</v>
      </c>
      <c r="C34" s="5" t="s">
        <v>290</v>
      </c>
      <c r="D34" s="5" t="s">
        <v>291</v>
      </c>
      <c r="E34" s="5" t="s">
        <v>292</v>
      </c>
      <c r="F34" s="5" t="s">
        <v>293</v>
      </c>
      <c r="G34" s="5" t="s">
        <v>37</v>
      </c>
      <c r="H34" s="5" t="s">
        <v>294</v>
      </c>
      <c r="I34" s="5" t="s">
        <v>295</v>
      </c>
      <c r="J34" s="6" t="s">
        <v>296</v>
      </c>
      <c r="K34" s="5" t="s">
        <v>297</v>
      </c>
    </row>
    <row r="35" customFormat="false" ht="23.85" hidden="false" customHeight="false" outlineLevel="0" collapsed="false">
      <c r="A35" s="5" t="s">
        <v>298</v>
      </c>
      <c r="B35" s="5" t="s">
        <v>299</v>
      </c>
      <c r="C35" s="5" t="s">
        <v>300</v>
      </c>
      <c r="D35" s="5" t="s">
        <v>291</v>
      </c>
      <c r="E35" s="5" t="s">
        <v>301</v>
      </c>
      <c r="F35" s="5" t="s">
        <v>293</v>
      </c>
      <c r="G35" s="5" t="s">
        <v>37</v>
      </c>
      <c r="H35" s="5" t="s">
        <v>302</v>
      </c>
      <c r="I35" s="5"/>
      <c r="J35" s="6" t="s">
        <v>303</v>
      </c>
      <c r="K35" s="5" t="s">
        <v>304</v>
      </c>
    </row>
    <row r="36" customFormat="false" ht="23.85" hidden="false" customHeight="false" outlineLevel="0" collapsed="false">
      <c r="A36" s="5" t="s">
        <v>305</v>
      </c>
      <c r="B36" s="5" t="s">
        <v>306</v>
      </c>
      <c r="C36" s="5" t="s">
        <v>307</v>
      </c>
      <c r="D36" s="5" t="s">
        <v>34</v>
      </c>
      <c r="E36" s="5" t="s">
        <v>308</v>
      </c>
      <c r="F36" s="5" t="s">
        <v>293</v>
      </c>
      <c r="G36" s="5" t="s">
        <v>37</v>
      </c>
      <c r="H36" s="5"/>
      <c r="I36" s="5"/>
      <c r="J36" s="6" t="s">
        <v>309</v>
      </c>
      <c r="K36" s="5" t="s">
        <v>310</v>
      </c>
    </row>
    <row r="37" customFormat="false" ht="32.8" hidden="false" customHeight="false" outlineLevel="0" collapsed="false">
      <c r="A37" s="5" t="s">
        <v>311</v>
      </c>
      <c r="B37" s="5" t="s">
        <v>312</v>
      </c>
      <c r="C37" s="5" t="s">
        <v>313</v>
      </c>
      <c r="D37" s="5" t="s">
        <v>34</v>
      </c>
      <c r="E37" s="5" t="s">
        <v>314</v>
      </c>
      <c r="F37" s="5" t="s">
        <v>315</v>
      </c>
      <c r="G37" s="5" t="s">
        <v>37</v>
      </c>
      <c r="H37" s="5"/>
      <c r="I37" s="5"/>
      <c r="J37" s="6" t="s">
        <v>316</v>
      </c>
      <c r="K37" s="5" t="s">
        <v>317</v>
      </c>
    </row>
    <row r="38" customFormat="false" ht="35.05" hidden="false" customHeight="false" outlineLevel="0" collapsed="false">
      <c r="A38" s="5" t="s">
        <v>318</v>
      </c>
      <c r="B38" s="5" t="s">
        <v>319</v>
      </c>
      <c r="C38" s="5" t="s">
        <v>320</v>
      </c>
      <c r="D38" s="5" t="s">
        <v>321</v>
      </c>
      <c r="E38" s="5" t="s">
        <v>322</v>
      </c>
      <c r="F38" s="5" t="s">
        <v>64</v>
      </c>
      <c r="G38" s="5" t="s">
        <v>37</v>
      </c>
      <c r="H38" s="5" t="s">
        <v>323</v>
      </c>
      <c r="I38" s="5"/>
      <c r="J38" s="6" t="s">
        <v>324</v>
      </c>
      <c r="K38" s="5" t="s">
        <v>325</v>
      </c>
    </row>
    <row r="39" customFormat="false" ht="35.05" hidden="false" customHeight="false" outlineLevel="0" collapsed="false">
      <c r="A39" s="5" t="s">
        <v>326</v>
      </c>
      <c r="B39" s="5" t="s">
        <v>327</v>
      </c>
      <c r="C39" s="5" t="s">
        <v>328</v>
      </c>
      <c r="D39" s="5" t="s">
        <v>321</v>
      </c>
      <c r="E39" s="5" t="s">
        <v>329</v>
      </c>
      <c r="F39" s="5" t="s">
        <v>330</v>
      </c>
      <c r="G39" s="5" t="s">
        <v>331</v>
      </c>
      <c r="H39" s="5"/>
      <c r="I39" s="5" t="s">
        <v>332</v>
      </c>
      <c r="J39" s="6" t="s">
        <v>333</v>
      </c>
      <c r="K39" s="5" t="s">
        <v>334</v>
      </c>
    </row>
    <row r="40" customFormat="false" ht="23.85" hidden="false" customHeight="false" outlineLevel="0" collapsed="false">
      <c r="A40" s="5" t="s">
        <v>335</v>
      </c>
      <c r="B40" s="5" t="s">
        <v>336</v>
      </c>
      <c r="C40" s="5" t="s">
        <v>337</v>
      </c>
      <c r="D40" s="5" t="s">
        <v>321</v>
      </c>
      <c r="E40" s="5" t="s">
        <v>338</v>
      </c>
      <c r="F40" s="5" t="s">
        <v>73</v>
      </c>
      <c r="G40" s="5" t="s">
        <v>37</v>
      </c>
      <c r="H40" s="5" t="s">
        <v>339</v>
      </c>
      <c r="I40" s="5"/>
      <c r="J40" s="6" t="s">
        <v>340</v>
      </c>
      <c r="K40" s="5" t="s">
        <v>341</v>
      </c>
    </row>
    <row r="41" customFormat="false" ht="23.85" hidden="false" customHeight="false" outlineLevel="0" collapsed="false">
      <c r="A41" s="5" t="s">
        <v>342</v>
      </c>
      <c r="B41" s="5" t="s">
        <v>343</v>
      </c>
      <c r="C41" s="5" t="s">
        <v>344</v>
      </c>
      <c r="D41" s="5" t="s">
        <v>345</v>
      </c>
      <c r="E41" s="5" t="s">
        <v>346</v>
      </c>
      <c r="F41" s="5" t="s">
        <v>64</v>
      </c>
      <c r="G41" s="5" t="s">
        <v>37</v>
      </c>
      <c r="H41" s="5"/>
      <c r="I41" s="5" t="s">
        <v>347</v>
      </c>
      <c r="J41" s="6" t="s">
        <v>348</v>
      </c>
      <c r="K41" s="5" t="s">
        <v>349</v>
      </c>
    </row>
    <row r="42" customFormat="false" ht="23.85" hidden="false" customHeight="false" outlineLevel="0" collapsed="false">
      <c r="A42" s="5" t="s">
        <v>350</v>
      </c>
      <c r="B42" s="5" t="s">
        <v>351</v>
      </c>
      <c r="C42" s="5" t="s">
        <v>352</v>
      </c>
      <c r="D42" s="5" t="s">
        <v>345</v>
      </c>
      <c r="E42" s="5" t="s">
        <v>353</v>
      </c>
      <c r="F42" s="5" t="s">
        <v>73</v>
      </c>
      <c r="G42" s="5" t="s">
        <v>37</v>
      </c>
      <c r="H42" s="5" t="s">
        <v>354</v>
      </c>
      <c r="I42" s="5"/>
      <c r="J42" s="6" t="s">
        <v>355</v>
      </c>
      <c r="K42" s="5" t="s">
        <v>356</v>
      </c>
    </row>
    <row r="43" customFormat="false" ht="23.85" hidden="false" customHeight="false" outlineLevel="0" collapsed="false">
      <c r="A43" s="5" t="s">
        <v>357</v>
      </c>
      <c r="B43" s="5" t="s">
        <v>358</v>
      </c>
      <c r="C43" s="5" t="s">
        <v>359</v>
      </c>
      <c r="D43" s="5" t="s">
        <v>360</v>
      </c>
      <c r="E43" s="5" t="s">
        <v>361</v>
      </c>
      <c r="F43" s="5" t="s">
        <v>64</v>
      </c>
      <c r="G43" s="5" t="s">
        <v>37</v>
      </c>
      <c r="H43" s="5" t="s">
        <v>362</v>
      </c>
      <c r="I43" s="5" t="s">
        <v>363</v>
      </c>
      <c r="J43" s="6" t="s">
        <v>364</v>
      </c>
      <c r="K43" s="5" t="s">
        <v>365</v>
      </c>
    </row>
    <row r="44" customFormat="false" ht="46.25" hidden="false" customHeight="false" outlineLevel="0" collapsed="false">
      <c r="A44" s="5" t="s">
        <v>366</v>
      </c>
      <c r="B44" s="5" t="s">
        <v>367</v>
      </c>
      <c r="C44" s="5" t="s">
        <v>368</v>
      </c>
      <c r="D44" s="5" t="s">
        <v>369</v>
      </c>
      <c r="E44" s="5" t="s">
        <v>370</v>
      </c>
      <c r="F44" s="5" t="s">
        <v>371</v>
      </c>
      <c r="G44" s="5" t="s">
        <v>372</v>
      </c>
      <c r="H44" s="5" t="s">
        <v>373</v>
      </c>
      <c r="I44" s="5"/>
      <c r="J44" s="6" t="s">
        <v>374</v>
      </c>
      <c r="K44" s="5" t="s">
        <v>375</v>
      </c>
    </row>
  </sheetData>
  <autoFilter ref="A1:K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1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4" t="s">
        <v>20</v>
      </c>
      <c r="B1" s="4" t="s">
        <v>376</v>
      </c>
      <c r="C1" s="4" t="s">
        <v>377</v>
      </c>
      <c r="D1" s="4" t="s">
        <v>378</v>
      </c>
    </row>
    <row r="2" customFormat="false" ht="23.85" hidden="false" customHeight="false" outlineLevel="0" collapsed="false">
      <c r="A2" s="5" t="s">
        <v>64</v>
      </c>
      <c r="B2" s="5" t="s">
        <v>379</v>
      </c>
      <c r="C2" s="5" t="s">
        <v>380</v>
      </c>
      <c r="D2" s="6" t="s">
        <v>381</v>
      </c>
    </row>
    <row r="3" customFormat="false" ht="23.85" hidden="false" customHeight="false" outlineLevel="0" collapsed="false">
      <c r="A3" s="5" t="s">
        <v>73</v>
      </c>
      <c r="B3" s="5" t="s">
        <v>382</v>
      </c>
      <c r="C3" s="5" t="s">
        <v>383</v>
      </c>
      <c r="D3" s="6" t="s">
        <v>175</v>
      </c>
    </row>
    <row r="4" customFormat="false" ht="23.85" hidden="false" customHeight="false" outlineLevel="0" collapsed="false">
      <c r="A4" s="5" t="s">
        <v>384</v>
      </c>
      <c r="B4" s="5" t="s">
        <v>385</v>
      </c>
      <c r="C4" s="5" t="s">
        <v>386</v>
      </c>
      <c r="D4" s="6" t="s">
        <v>387</v>
      </c>
    </row>
    <row r="5" customFormat="false" ht="35.05" hidden="false" customHeight="false" outlineLevel="0" collapsed="false">
      <c r="A5" s="5" t="s">
        <v>143</v>
      </c>
      <c r="B5" s="5" t="s">
        <v>388</v>
      </c>
      <c r="C5" s="5" t="s">
        <v>389</v>
      </c>
      <c r="D5" s="6" t="s">
        <v>390</v>
      </c>
    </row>
    <row r="6" customFormat="false" ht="23.85" hidden="false" customHeight="false" outlineLevel="0" collapsed="false">
      <c r="A6" s="5" t="s">
        <v>126</v>
      </c>
      <c r="B6" s="5" t="s">
        <v>391</v>
      </c>
      <c r="C6" s="5" t="s">
        <v>392</v>
      </c>
      <c r="D6" s="6" t="s">
        <v>393</v>
      </c>
    </row>
    <row r="7" customFormat="false" ht="23.85" hidden="false" customHeight="false" outlineLevel="0" collapsed="false">
      <c r="A7" s="5" t="s">
        <v>100</v>
      </c>
      <c r="B7" s="5" t="s">
        <v>394</v>
      </c>
      <c r="C7" s="5" t="s">
        <v>395</v>
      </c>
      <c r="D7" s="6" t="s">
        <v>99</v>
      </c>
    </row>
    <row r="8" customFormat="false" ht="23.85" hidden="false" customHeight="false" outlineLevel="0" collapsed="false">
      <c r="A8" s="5" t="s">
        <v>396</v>
      </c>
      <c r="B8" s="5" t="s">
        <v>397</v>
      </c>
      <c r="C8" s="5" t="s">
        <v>398</v>
      </c>
      <c r="D8" s="6" t="s">
        <v>399</v>
      </c>
    </row>
    <row r="9" customFormat="false" ht="23.85" hidden="false" customHeight="false" outlineLevel="0" collapsed="false">
      <c r="A9" s="5" t="s">
        <v>293</v>
      </c>
      <c r="B9" s="5" t="s">
        <v>400</v>
      </c>
      <c r="C9" s="5" t="s">
        <v>401</v>
      </c>
      <c r="D9" s="6" t="s">
        <v>402</v>
      </c>
    </row>
    <row r="10" customFormat="false" ht="15" hidden="false" customHeight="false" outlineLevel="0" collapsed="false">
      <c r="A10" s="5" t="s">
        <v>166</v>
      </c>
      <c r="B10" s="5" t="s">
        <v>403</v>
      </c>
      <c r="C10" s="5" t="s">
        <v>404</v>
      </c>
      <c r="D10" s="6" t="s">
        <v>405</v>
      </c>
    </row>
    <row r="11" customFormat="false" ht="23.85" hidden="false" customHeight="false" outlineLevel="0" collapsed="false">
      <c r="A11" s="5" t="s">
        <v>406</v>
      </c>
      <c r="B11" s="5" t="s">
        <v>407</v>
      </c>
      <c r="C11" s="5" t="s">
        <v>408</v>
      </c>
      <c r="D11" s="6" t="s">
        <v>409</v>
      </c>
    </row>
    <row r="12" customFormat="false" ht="23.85" hidden="false" customHeight="false" outlineLevel="0" collapsed="false">
      <c r="A12" s="5" t="s">
        <v>410</v>
      </c>
      <c r="B12" s="5" t="s">
        <v>411</v>
      </c>
      <c r="C12" s="5" t="s">
        <v>412</v>
      </c>
      <c r="D12" s="6" t="s">
        <v>413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6"/>
    <col collapsed="false" customWidth="true" hidden="false" outlineLevel="0" max="11" min="10" style="0" width="40"/>
    <col collapsed="false" customWidth="true" hidden="false" outlineLevel="0" max="12" min="12" style="0" width="50"/>
    <col collapsed="false" customWidth="true" hidden="false" outlineLevel="0" max="13" min="13" style="0" width="36"/>
    <col collapsed="false" customWidth="true" hidden="false" outlineLevel="0" max="14" min="14" style="0" width="50"/>
    <col collapsed="false" customWidth="true" hidden="false" outlineLevel="0" max="15" min="15" style="0" width="70"/>
  </cols>
  <sheetData>
    <row r="1" customFormat="false" ht="15" hidden="false" customHeight="false" outlineLevel="0" collapsed="false">
      <c r="A1" s="4" t="s">
        <v>23</v>
      </c>
      <c r="B1" s="4" t="s">
        <v>376</v>
      </c>
      <c r="C1" s="4" t="s">
        <v>414</v>
      </c>
      <c r="D1" s="4" t="s">
        <v>415</v>
      </c>
      <c r="E1" s="4" t="s">
        <v>416</v>
      </c>
      <c r="F1" s="4" t="s">
        <v>417</v>
      </c>
      <c r="G1" s="4" t="s">
        <v>418</v>
      </c>
      <c r="H1" s="4" t="s">
        <v>419</v>
      </c>
      <c r="I1" s="4" t="s">
        <v>420</v>
      </c>
      <c r="J1" s="4" t="s">
        <v>421</v>
      </c>
      <c r="K1" s="4" t="s">
        <v>422</v>
      </c>
      <c r="L1" s="4" t="s">
        <v>423</v>
      </c>
      <c r="M1" s="4" t="s">
        <v>424</v>
      </c>
      <c r="N1" s="4" t="s">
        <v>425</v>
      </c>
      <c r="O1" s="4" t="s">
        <v>29</v>
      </c>
    </row>
    <row r="2" customFormat="false" ht="23.85" hidden="false" customHeight="false" outlineLevel="0" collapsed="false">
      <c r="A2" s="5" t="s">
        <v>34</v>
      </c>
      <c r="B2" s="6" t="s">
        <v>426</v>
      </c>
      <c r="C2" s="5" t="s">
        <v>427</v>
      </c>
      <c r="D2" s="5" t="s">
        <v>428</v>
      </c>
      <c r="E2" s="5" t="s">
        <v>429</v>
      </c>
      <c r="F2" s="5" t="s">
        <v>430</v>
      </c>
      <c r="G2" s="5" t="s">
        <v>431</v>
      </c>
      <c r="H2" s="5"/>
      <c r="I2" s="5"/>
      <c r="J2" s="5"/>
      <c r="K2" s="5"/>
      <c r="L2" s="5"/>
      <c r="M2" s="5" t="s">
        <v>432</v>
      </c>
      <c r="N2" s="5" t="s">
        <v>433</v>
      </c>
      <c r="O2" s="6" t="s">
        <v>434</v>
      </c>
    </row>
    <row r="3" customFormat="false" ht="23.85" hidden="false" customHeight="false" outlineLevel="0" collapsed="false">
      <c r="A3" s="5" t="s">
        <v>34</v>
      </c>
      <c r="B3" s="6" t="s">
        <v>435</v>
      </c>
      <c r="C3" s="5" t="s">
        <v>436</v>
      </c>
      <c r="D3" s="5" t="s">
        <v>437</v>
      </c>
      <c r="E3" s="5" t="s">
        <v>429</v>
      </c>
      <c r="F3" s="5" t="s">
        <v>430</v>
      </c>
      <c r="G3" s="5" t="s">
        <v>431</v>
      </c>
      <c r="H3" s="5"/>
      <c r="I3" s="5"/>
      <c r="J3" s="5"/>
      <c r="K3" s="5"/>
      <c r="L3" s="5"/>
      <c r="M3" s="5" t="s">
        <v>438</v>
      </c>
      <c r="N3" s="5" t="s">
        <v>439</v>
      </c>
      <c r="O3" s="6" t="s">
        <v>440</v>
      </c>
    </row>
    <row r="4" customFormat="false" ht="23.85" hidden="false" customHeight="false" outlineLevel="0" collapsed="false">
      <c r="A4" s="5" t="s">
        <v>34</v>
      </c>
      <c r="B4" s="6" t="s">
        <v>441</v>
      </c>
      <c r="C4" s="5" t="s">
        <v>442</v>
      </c>
      <c r="D4" s="5" t="s">
        <v>437</v>
      </c>
      <c r="E4" s="5" t="s">
        <v>429</v>
      </c>
      <c r="F4" s="5" t="s">
        <v>430</v>
      </c>
      <c r="G4" s="5" t="s">
        <v>431</v>
      </c>
      <c r="H4" s="5"/>
      <c r="I4" s="5"/>
      <c r="J4" s="5"/>
      <c r="K4" s="5"/>
      <c r="L4" s="5"/>
      <c r="M4" s="5" t="s">
        <v>443</v>
      </c>
      <c r="N4" s="5" t="s">
        <v>444</v>
      </c>
      <c r="O4" s="6" t="s">
        <v>445</v>
      </c>
    </row>
    <row r="5" customFormat="false" ht="23.85" hidden="false" customHeight="false" outlineLevel="0" collapsed="false">
      <c r="A5" s="5" t="s">
        <v>34</v>
      </c>
      <c r="B5" s="6" t="s">
        <v>446</v>
      </c>
      <c r="C5" s="5" t="s">
        <v>447</v>
      </c>
      <c r="D5" s="5" t="s">
        <v>437</v>
      </c>
      <c r="E5" s="5" t="s">
        <v>429</v>
      </c>
      <c r="F5" s="5" t="s">
        <v>430</v>
      </c>
      <c r="G5" s="5" t="s">
        <v>431</v>
      </c>
      <c r="H5" s="5"/>
      <c r="I5" s="5"/>
      <c r="J5" s="5"/>
      <c r="K5" s="5"/>
      <c r="L5" s="5"/>
      <c r="M5" s="5" t="s">
        <v>448</v>
      </c>
      <c r="N5" s="5" t="s">
        <v>449</v>
      </c>
      <c r="O5" s="6" t="s">
        <v>450</v>
      </c>
    </row>
    <row r="6" customFormat="false" ht="32.8" hidden="false" customHeight="false" outlineLevel="0" collapsed="false">
      <c r="A6" s="5" t="s">
        <v>34</v>
      </c>
      <c r="B6" s="6" t="s">
        <v>451</v>
      </c>
      <c r="C6" s="5" t="s">
        <v>452</v>
      </c>
      <c r="D6" s="5" t="s">
        <v>453</v>
      </c>
      <c r="E6" s="5" t="s">
        <v>429</v>
      </c>
      <c r="F6" s="5" t="s">
        <v>430</v>
      </c>
      <c r="G6" s="5" t="s">
        <v>431</v>
      </c>
      <c r="H6" s="5"/>
      <c r="I6" s="5"/>
      <c r="J6" s="5"/>
      <c r="K6" s="5"/>
      <c r="L6" s="5"/>
      <c r="M6" s="5" t="s">
        <v>454</v>
      </c>
      <c r="N6" s="5" t="s">
        <v>455</v>
      </c>
      <c r="O6" s="6" t="s">
        <v>456</v>
      </c>
    </row>
    <row r="7" customFormat="false" ht="32.8" hidden="false" customHeight="false" outlineLevel="0" collapsed="false">
      <c r="A7" s="5" t="s">
        <v>34</v>
      </c>
      <c r="B7" s="6" t="s">
        <v>457</v>
      </c>
      <c r="C7" s="5" t="s">
        <v>458</v>
      </c>
      <c r="D7" s="5" t="s">
        <v>453</v>
      </c>
      <c r="E7" s="5" t="s">
        <v>429</v>
      </c>
      <c r="F7" s="5" t="s">
        <v>430</v>
      </c>
      <c r="G7" s="5" t="s">
        <v>431</v>
      </c>
      <c r="H7" s="5"/>
      <c r="I7" s="5"/>
      <c r="J7" s="5"/>
      <c r="K7" s="5"/>
      <c r="L7" s="5"/>
      <c r="M7" s="5" t="s">
        <v>459</v>
      </c>
      <c r="N7" s="5" t="s">
        <v>460</v>
      </c>
      <c r="O7" s="6" t="s">
        <v>461</v>
      </c>
    </row>
    <row r="8" customFormat="false" ht="43.25" hidden="false" customHeight="false" outlineLevel="0" collapsed="false">
      <c r="A8" s="5" t="s">
        <v>34</v>
      </c>
      <c r="B8" s="6" t="s">
        <v>462</v>
      </c>
      <c r="C8" s="5" t="s">
        <v>463</v>
      </c>
      <c r="D8" s="5" t="s">
        <v>437</v>
      </c>
      <c r="E8" s="5" t="s">
        <v>429</v>
      </c>
      <c r="F8" s="5" t="s">
        <v>430</v>
      </c>
      <c r="G8" s="5" t="s">
        <v>431</v>
      </c>
      <c r="H8" s="5"/>
      <c r="I8" s="5"/>
      <c r="J8" s="5"/>
      <c r="K8" s="5"/>
      <c r="L8" s="5"/>
      <c r="M8" s="5" t="s">
        <v>464</v>
      </c>
      <c r="N8" s="5" t="s">
        <v>465</v>
      </c>
      <c r="O8" s="6" t="s">
        <v>466</v>
      </c>
    </row>
    <row r="9" customFormat="false" ht="32.8" hidden="false" customHeight="false" outlineLevel="0" collapsed="false">
      <c r="A9" s="5" t="s">
        <v>34</v>
      </c>
      <c r="B9" s="6" t="s">
        <v>467</v>
      </c>
      <c r="C9" s="5" t="s">
        <v>468</v>
      </c>
      <c r="D9" s="5" t="s">
        <v>437</v>
      </c>
      <c r="E9" s="5" t="s">
        <v>429</v>
      </c>
      <c r="F9" s="5" t="s">
        <v>430</v>
      </c>
      <c r="G9" s="5" t="s">
        <v>431</v>
      </c>
      <c r="H9" s="5"/>
      <c r="I9" s="5"/>
      <c r="J9" s="5"/>
      <c r="K9" s="5"/>
      <c r="L9" s="5"/>
      <c r="M9" s="5" t="s">
        <v>469</v>
      </c>
      <c r="N9" s="5" t="s">
        <v>470</v>
      </c>
      <c r="O9" s="6" t="s">
        <v>471</v>
      </c>
    </row>
    <row r="10" customFormat="false" ht="22.35" hidden="false" customHeight="false" outlineLevel="0" collapsed="false">
      <c r="A10" s="5" t="s">
        <v>34</v>
      </c>
      <c r="B10" s="6" t="s">
        <v>472</v>
      </c>
      <c r="C10" s="5" t="s">
        <v>473</v>
      </c>
      <c r="D10" s="5" t="s">
        <v>437</v>
      </c>
      <c r="E10" s="5" t="s">
        <v>429</v>
      </c>
      <c r="F10" s="5" t="s">
        <v>430</v>
      </c>
      <c r="G10" s="5" t="s">
        <v>431</v>
      </c>
      <c r="H10" s="5"/>
      <c r="I10" s="5"/>
      <c r="J10" s="5"/>
      <c r="K10" s="5"/>
      <c r="L10" s="5"/>
      <c r="M10" s="5" t="s">
        <v>474</v>
      </c>
      <c r="N10" s="5" t="s">
        <v>475</v>
      </c>
      <c r="O10" s="6" t="s">
        <v>476</v>
      </c>
    </row>
    <row r="11" customFormat="false" ht="32.8" hidden="false" customHeight="false" outlineLevel="0" collapsed="false">
      <c r="A11" s="5" t="s">
        <v>34</v>
      </c>
      <c r="B11" s="6" t="s">
        <v>477</v>
      </c>
      <c r="C11" s="5" t="s">
        <v>478</v>
      </c>
      <c r="D11" s="5" t="s">
        <v>428</v>
      </c>
      <c r="E11" s="5" t="s">
        <v>429</v>
      </c>
      <c r="F11" s="5" t="s">
        <v>430</v>
      </c>
      <c r="G11" s="5" t="s">
        <v>431</v>
      </c>
      <c r="H11" s="5"/>
      <c r="I11" s="5"/>
      <c r="J11" s="5"/>
      <c r="K11" s="5"/>
      <c r="L11" s="5"/>
      <c r="M11" s="5" t="s">
        <v>479</v>
      </c>
      <c r="N11" s="5" t="s">
        <v>480</v>
      </c>
      <c r="O11" s="6" t="s">
        <v>481</v>
      </c>
    </row>
    <row r="12" customFormat="false" ht="22.35" hidden="false" customHeight="false" outlineLevel="0" collapsed="false">
      <c r="A12" s="5" t="s">
        <v>34</v>
      </c>
      <c r="B12" s="6" t="s">
        <v>482</v>
      </c>
      <c r="C12" s="5" t="s">
        <v>483</v>
      </c>
      <c r="D12" s="5" t="s">
        <v>437</v>
      </c>
      <c r="E12" s="5" t="s">
        <v>429</v>
      </c>
      <c r="F12" s="5" t="s">
        <v>430</v>
      </c>
      <c r="G12" s="5" t="s">
        <v>431</v>
      </c>
      <c r="H12" s="5"/>
      <c r="I12" s="5"/>
      <c r="J12" s="5"/>
      <c r="K12" s="5"/>
      <c r="L12" s="5"/>
      <c r="M12" s="5" t="s">
        <v>484</v>
      </c>
      <c r="N12" s="5" t="s">
        <v>485</v>
      </c>
      <c r="O12" s="6" t="s">
        <v>486</v>
      </c>
    </row>
    <row r="13" customFormat="false" ht="22.35" hidden="false" customHeight="false" outlineLevel="0" collapsed="false">
      <c r="A13" s="5" t="s">
        <v>34</v>
      </c>
      <c r="B13" s="6" t="s">
        <v>487</v>
      </c>
      <c r="C13" s="5" t="s">
        <v>488</v>
      </c>
      <c r="D13" s="5" t="s">
        <v>437</v>
      </c>
      <c r="E13" s="5" t="s">
        <v>429</v>
      </c>
      <c r="F13" s="5" t="s">
        <v>430</v>
      </c>
      <c r="G13" s="5" t="s">
        <v>431</v>
      </c>
      <c r="H13" s="5"/>
      <c r="I13" s="5"/>
      <c r="J13" s="5"/>
      <c r="K13" s="5"/>
      <c r="L13" s="5"/>
      <c r="M13" s="5" t="s">
        <v>489</v>
      </c>
      <c r="N13" s="5" t="s">
        <v>490</v>
      </c>
      <c r="O13" s="6" t="s">
        <v>491</v>
      </c>
    </row>
    <row r="14" customFormat="false" ht="22.35" hidden="false" customHeight="false" outlineLevel="0" collapsed="false">
      <c r="A14" s="5" t="s">
        <v>34</v>
      </c>
      <c r="B14" s="6" t="s">
        <v>266</v>
      </c>
      <c r="C14" s="5" t="s">
        <v>492</v>
      </c>
      <c r="D14" s="5" t="s">
        <v>428</v>
      </c>
      <c r="E14" s="5" t="s">
        <v>429</v>
      </c>
      <c r="F14" s="5" t="s">
        <v>430</v>
      </c>
      <c r="G14" s="5" t="s">
        <v>431</v>
      </c>
      <c r="H14" s="5"/>
      <c r="I14" s="5"/>
      <c r="J14" s="5"/>
      <c r="K14" s="5"/>
      <c r="L14" s="5"/>
      <c r="M14" s="5" t="s">
        <v>493</v>
      </c>
      <c r="N14" s="5" t="s">
        <v>494</v>
      </c>
      <c r="O14" s="6" t="s">
        <v>495</v>
      </c>
    </row>
    <row r="15" customFormat="false" ht="22.35" hidden="false" customHeight="false" outlineLevel="0" collapsed="false">
      <c r="A15" s="5" t="s">
        <v>34</v>
      </c>
      <c r="B15" s="6" t="s">
        <v>496</v>
      </c>
      <c r="C15" s="5" t="s">
        <v>497</v>
      </c>
      <c r="D15" s="5" t="s">
        <v>437</v>
      </c>
      <c r="E15" s="5" t="s">
        <v>429</v>
      </c>
      <c r="F15" s="5" t="s">
        <v>430</v>
      </c>
      <c r="G15" s="5" t="s">
        <v>431</v>
      </c>
      <c r="H15" s="5"/>
      <c r="I15" s="5"/>
      <c r="J15" s="5"/>
      <c r="K15" s="5" t="s">
        <v>498</v>
      </c>
      <c r="L15" s="5"/>
      <c r="M15" s="5" t="s">
        <v>499</v>
      </c>
      <c r="N15" s="5" t="s">
        <v>500</v>
      </c>
      <c r="O15" s="6" t="s">
        <v>501</v>
      </c>
    </row>
    <row r="16" customFormat="false" ht="22.35" hidden="false" customHeight="false" outlineLevel="0" collapsed="false">
      <c r="A16" s="5" t="s">
        <v>34</v>
      </c>
      <c r="B16" s="6" t="s">
        <v>502</v>
      </c>
      <c r="C16" s="5" t="s">
        <v>503</v>
      </c>
      <c r="D16" s="5" t="s">
        <v>437</v>
      </c>
      <c r="E16" s="5" t="s">
        <v>429</v>
      </c>
      <c r="F16" s="5" t="s">
        <v>430</v>
      </c>
      <c r="G16" s="5" t="s">
        <v>431</v>
      </c>
      <c r="H16" s="5"/>
      <c r="I16" s="5"/>
      <c r="J16" s="5"/>
      <c r="K16" s="5"/>
      <c r="L16" s="5"/>
      <c r="M16" s="5" t="s">
        <v>504</v>
      </c>
      <c r="N16" s="5" t="s">
        <v>505</v>
      </c>
      <c r="O16" s="6" t="s">
        <v>506</v>
      </c>
    </row>
    <row r="17" customFormat="false" ht="23.85" hidden="false" customHeight="false" outlineLevel="0" collapsed="false">
      <c r="A17" s="5" t="s">
        <v>34</v>
      </c>
      <c r="B17" s="6" t="s">
        <v>507</v>
      </c>
      <c r="C17" s="5" t="s">
        <v>508</v>
      </c>
      <c r="D17" s="5" t="s">
        <v>509</v>
      </c>
      <c r="E17" s="5" t="s">
        <v>510</v>
      </c>
      <c r="F17" s="5" t="s">
        <v>430</v>
      </c>
      <c r="G17" s="5" t="s">
        <v>431</v>
      </c>
      <c r="H17" s="5"/>
      <c r="I17" s="5"/>
      <c r="J17" s="5"/>
      <c r="K17" s="5"/>
      <c r="L17" s="5"/>
      <c r="M17" s="5" t="s">
        <v>511</v>
      </c>
      <c r="N17" s="5" t="s">
        <v>512</v>
      </c>
      <c r="O17" s="6" t="s">
        <v>513</v>
      </c>
    </row>
    <row r="18" customFormat="false" ht="22.35" hidden="false" customHeight="false" outlineLevel="0" collapsed="false">
      <c r="A18" s="5" t="s">
        <v>34</v>
      </c>
      <c r="B18" s="6" t="s">
        <v>514</v>
      </c>
      <c r="C18" s="5" t="s">
        <v>515</v>
      </c>
      <c r="D18" s="5" t="s">
        <v>428</v>
      </c>
      <c r="E18" s="5" t="s">
        <v>510</v>
      </c>
      <c r="F18" s="5" t="s">
        <v>430</v>
      </c>
      <c r="G18" s="5" t="s">
        <v>431</v>
      </c>
      <c r="H18" s="5"/>
      <c r="I18" s="5"/>
      <c r="J18" s="5"/>
      <c r="K18" s="5" t="s">
        <v>516</v>
      </c>
      <c r="L18" s="5"/>
      <c r="M18" s="5" t="s">
        <v>517</v>
      </c>
      <c r="N18" s="5" t="s">
        <v>518</v>
      </c>
      <c r="O18" s="6" t="s">
        <v>519</v>
      </c>
    </row>
    <row r="19" customFormat="false" ht="22.35" hidden="false" customHeight="false" outlineLevel="0" collapsed="false">
      <c r="A19" s="5" t="s">
        <v>34</v>
      </c>
      <c r="B19" s="6" t="s">
        <v>251</v>
      </c>
      <c r="C19" s="5" t="s">
        <v>520</v>
      </c>
      <c r="D19" s="5" t="s">
        <v>428</v>
      </c>
      <c r="E19" s="5" t="s">
        <v>510</v>
      </c>
      <c r="F19" s="5" t="s">
        <v>430</v>
      </c>
      <c r="G19" s="5" t="s">
        <v>431</v>
      </c>
      <c r="H19" s="5"/>
      <c r="I19" s="5"/>
      <c r="J19" s="5"/>
      <c r="K19" s="5" t="s">
        <v>521</v>
      </c>
      <c r="L19" s="5"/>
      <c r="M19" s="5" t="s">
        <v>522</v>
      </c>
      <c r="N19" s="5" t="s">
        <v>523</v>
      </c>
      <c r="O19" s="6" t="s">
        <v>524</v>
      </c>
    </row>
    <row r="20" customFormat="false" ht="22.35" hidden="false" customHeight="false" outlineLevel="0" collapsed="false">
      <c r="A20" s="5" t="s">
        <v>34</v>
      </c>
      <c r="B20" s="6" t="s">
        <v>525</v>
      </c>
      <c r="C20" s="5" t="s">
        <v>526</v>
      </c>
      <c r="D20" s="5" t="s">
        <v>428</v>
      </c>
      <c r="E20" s="5" t="s">
        <v>510</v>
      </c>
      <c r="F20" s="5" t="s">
        <v>430</v>
      </c>
      <c r="G20" s="5" t="s">
        <v>431</v>
      </c>
      <c r="H20" s="5"/>
      <c r="I20" s="5"/>
      <c r="J20" s="5"/>
      <c r="K20" s="5"/>
      <c r="L20" s="5"/>
      <c r="M20" s="5" t="s">
        <v>527</v>
      </c>
      <c r="N20" s="5" t="s">
        <v>528</v>
      </c>
      <c r="O20" s="6" t="s">
        <v>529</v>
      </c>
    </row>
    <row r="21" customFormat="false" ht="22.35" hidden="false" customHeight="false" outlineLevel="0" collapsed="false">
      <c r="A21" s="5" t="s">
        <v>34</v>
      </c>
      <c r="B21" s="6" t="s">
        <v>530</v>
      </c>
      <c r="C21" s="5" t="s">
        <v>531</v>
      </c>
      <c r="D21" s="5" t="s">
        <v>509</v>
      </c>
      <c r="E21" s="5" t="s">
        <v>510</v>
      </c>
      <c r="F21" s="5" t="s">
        <v>430</v>
      </c>
      <c r="G21" s="5" t="s">
        <v>431</v>
      </c>
      <c r="H21" s="5"/>
      <c r="I21" s="5"/>
      <c r="J21" s="5"/>
      <c r="K21" s="5"/>
      <c r="L21" s="5"/>
      <c r="M21" s="5" t="s">
        <v>532</v>
      </c>
      <c r="N21" s="5" t="s">
        <v>533</v>
      </c>
      <c r="O21" s="6" t="s">
        <v>534</v>
      </c>
    </row>
    <row r="22" customFormat="false" ht="22.35" hidden="false" customHeight="false" outlineLevel="0" collapsed="false">
      <c r="A22" s="5" t="s">
        <v>34</v>
      </c>
      <c r="B22" s="6" t="s">
        <v>535</v>
      </c>
      <c r="C22" s="5" t="s">
        <v>536</v>
      </c>
      <c r="D22" s="5" t="s">
        <v>509</v>
      </c>
      <c r="E22" s="5" t="s">
        <v>510</v>
      </c>
      <c r="F22" s="5" t="s">
        <v>430</v>
      </c>
      <c r="G22" s="5" t="s">
        <v>431</v>
      </c>
      <c r="H22" s="5"/>
      <c r="I22" s="5"/>
      <c r="J22" s="5"/>
      <c r="K22" s="5"/>
      <c r="L22" s="5"/>
      <c r="M22" s="5" t="s">
        <v>537</v>
      </c>
      <c r="N22" s="5" t="s">
        <v>538</v>
      </c>
      <c r="O22" s="6" t="s">
        <v>539</v>
      </c>
    </row>
    <row r="23" customFormat="false" ht="22.35" hidden="false" customHeight="false" outlineLevel="0" collapsed="false">
      <c r="A23" s="5" t="s">
        <v>34</v>
      </c>
      <c r="B23" s="6" t="s">
        <v>540</v>
      </c>
      <c r="C23" s="5" t="s">
        <v>541</v>
      </c>
      <c r="D23" s="5" t="s">
        <v>509</v>
      </c>
      <c r="E23" s="5" t="s">
        <v>510</v>
      </c>
      <c r="F23" s="5" t="s">
        <v>430</v>
      </c>
      <c r="G23" s="5" t="s">
        <v>431</v>
      </c>
      <c r="H23" s="5"/>
      <c r="I23" s="5"/>
      <c r="J23" s="5"/>
      <c r="K23" s="5"/>
      <c r="L23" s="5"/>
      <c r="M23" s="5" t="s">
        <v>542</v>
      </c>
      <c r="N23" s="5" t="s">
        <v>543</v>
      </c>
      <c r="O23" s="6" t="s">
        <v>544</v>
      </c>
    </row>
    <row r="24" customFormat="false" ht="22.35" hidden="false" customHeight="false" outlineLevel="0" collapsed="false">
      <c r="A24" s="5" t="s">
        <v>34</v>
      </c>
      <c r="B24" s="6" t="s">
        <v>545</v>
      </c>
      <c r="C24" s="5" t="s">
        <v>546</v>
      </c>
      <c r="D24" s="5" t="s">
        <v>437</v>
      </c>
      <c r="E24" s="5" t="s">
        <v>429</v>
      </c>
      <c r="F24" s="5" t="s">
        <v>547</v>
      </c>
      <c r="G24" s="5" t="s">
        <v>431</v>
      </c>
      <c r="H24" s="5"/>
      <c r="I24" s="5"/>
      <c r="J24" s="5"/>
      <c r="K24" s="5"/>
      <c r="L24" s="5"/>
      <c r="M24" s="5" t="s">
        <v>548</v>
      </c>
      <c r="N24" s="5" t="s">
        <v>549</v>
      </c>
      <c r="O24" s="6" t="s">
        <v>550</v>
      </c>
    </row>
    <row r="25" customFormat="false" ht="22.35" hidden="false" customHeight="false" outlineLevel="0" collapsed="false">
      <c r="A25" s="5" t="s">
        <v>34</v>
      </c>
      <c r="B25" s="6" t="s">
        <v>551</v>
      </c>
      <c r="C25" s="5" t="s">
        <v>551</v>
      </c>
      <c r="D25" s="5" t="s">
        <v>437</v>
      </c>
      <c r="E25" s="5" t="s">
        <v>429</v>
      </c>
      <c r="F25" s="5" t="s">
        <v>547</v>
      </c>
      <c r="G25" s="5" t="s">
        <v>431</v>
      </c>
      <c r="H25" s="5"/>
      <c r="I25" s="5"/>
      <c r="J25" s="5"/>
      <c r="K25" s="5"/>
      <c r="L25" s="5"/>
      <c r="M25" s="5" t="s">
        <v>551</v>
      </c>
      <c r="N25" s="5" t="s">
        <v>552</v>
      </c>
      <c r="O25" s="6" t="s">
        <v>553</v>
      </c>
    </row>
    <row r="26" customFormat="false" ht="32.8" hidden="false" customHeight="false" outlineLevel="0" collapsed="false">
      <c r="A26" s="5" t="s">
        <v>34</v>
      </c>
      <c r="B26" s="6" t="s">
        <v>554</v>
      </c>
      <c r="C26" s="5" t="s">
        <v>555</v>
      </c>
      <c r="D26" s="5" t="s">
        <v>437</v>
      </c>
      <c r="E26" s="5" t="s">
        <v>510</v>
      </c>
      <c r="F26" s="5" t="s">
        <v>547</v>
      </c>
      <c r="G26" s="5" t="s">
        <v>431</v>
      </c>
      <c r="H26" s="5"/>
      <c r="I26" s="5"/>
      <c r="J26" s="5"/>
      <c r="K26" s="5"/>
      <c r="L26" s="5"/>
      <c r="M26" s="5" t="s">
        <v>556</v>
      </c>
      <c r="N26" s="5" t="s">
        <v>557</v>
      </c>
      <c r="O26" s="6" t="s">
        <v>558</v>
      </c>
    </row>
    <row r="27" customFormat="false" ht="35.05" hidden="false" customHeight="false" outlineLevel="0" collapsed="false">
      <c r="A27" s="5" t="s">
        <v>34</v>
      </c>
      <c r="B27" s="6" t="s">
        <v>559</v>
      </c>
      <c r="C27" s="5" t="s">
        <v>560</v>
      </c>
      <c r="D27" s="5" t="s">
        <v>437</v>
      </c>
      <c r="E27" s="5" t="s">
        <v>510</v>
      </c>
      <c r="F27" s="5" t="s">
        <v>547</v>
      </c>
      <c r="G27" s="5" t="s">
        <v>561</v>
      </c>
      <c r="H27" s="5"/>
      <c r="I27" s="5"/>
      <c r="J27" s="5"/>
      <c r="K27" s="5"/>
      <c r="L27" s="5"/>
      <c r="M27" s="5" t="s">
        <v>562</v>
      </c>
      <c r="N27" s="5" t="s">
        <v>563</v>
      </c>
      <c r="O27" s="6" t="s">
        <v>564</v>
      </c>
    </row>
    <row r="28" customFormat="false" ht="35.05" hidden="false" customHeight="false" outlineLevel="0" collapsed="false">
      <c r="A28" s="5" t="s">
        <v>34</v>
      </c>
      <c r="B28" s="6" t="s">
        <v>205</v>
      </c>
      <c r="C28" s="5" t="s">
        <v>565</v>
      </c>
      <c r="D28" s="5" t="s">
        <v>566</v>
      </c>
      <c r="E28" s="5" t="s">
        <v>510</v>
      </c>
      <c r="F28" s="5" t="s">
        <v>547</v>
      </c>
      <c r="G28" s="5" t="s">
        <v>431</v>
      </c>
      <c r="H28" s="5"/>
      <c r="I28" s="5"/>
      <c r="J28" s="5"/>
      <c r="K28" s="5" t="s">
        <v>567</v>
      </c>
      <c r="L28" s="5" t="s">
        <v>568</v>
      </c>
      <c r="M28" s="5" t="s">
        <v>569</v>
      </c>
      <c r="N28" s="5" t="s">
        <v>570</v>
      </c>
      <c r="O28" s="6" t="s">
        <v>207</v>
      </c>
    </row>
    <row r="29" customFormat="false" ht="22.35" hidden="false" customHeight="false" outlineLevel="0" collapsed="false">
      <c r="A29" s="5" t="s">
        <v>34</v>
      </c>
      <c r="B29" s="6" t="s">
        <v>571</v>
      </c>
      <c r="C29" s="5" t="s">
        <v>572</v>
      </c>
      <c r="D29" s="5" t="s">
        <v>437</v>
      </c>
      <c r="E29" s="5" t="s">
        <v>510</v>
      </c>
      <c r="F29" s="5" t="s">
        <v>547</v>
      </c>
      <c r="G29" s="5" t="s">
        <v>431</v>
      </c>
      <c r="H29" s="5"/>
      <c r="I29" s="5"/>
      <c r="J29" s="5"/>
      <c r="K29" s="5"/>
      <c r="L29" s="5"/>
      <c r="M29" s="5" t="s">
        <v>573</v>
      </c>
      <c r="N29" s="5" t="s">
        <v>574</v>
      </c>
      <c r="O29" s="6" t="s">
        <v>575</v>
      </c>
    </row>
    <row r="30" customFormat="false" ht="22.35" hidden="false" customHeight="false" outlineLevel="0" collapsed="false">
      <c r="A30" s="5" t="s">
        <v>34</v>
      </c>
      <c r="B30" s="6" t="s">
        <v>576</v>
      </c>
      <c r="C30" s="5" t="s">
        <v>577</v>
      </c>
      <c r="D30" s="5" t="s">
        <v>437</v>
      </c>
      <c r="E30" s="5" t="s">
        <v>429</v>
      </c>
      <c r="F30" s="5" t="s">
        <v>547</v>
      </c>
      <c r="G30" s="5" t="s">
        <v>431</v>
      </c>
      <c r="H30" s="5"/>
      <c r="I30" s="5"/>
      <c r="J30" s="5"/>
      <c r="K30" s="5" t="s">
        <v>578</v>
      </c>
      <c r="L30" s="5"/>
      <c r="M30" s="5" t="s">
        <v>579</v>
      </c>
      <c r="N30" s="5" t="s">
        <v>580</v>
      </c>
      <c r="O30" s="6" t="s">
        <v>581</v>
      </c>
    </row>
    <row r="31" customFormat="false" ht="15" hidden="false" customHeight="false" outlineLevel="0" collapsed="false">
      <c r="A31" s="5" t="s">
        <v>34</v>
      </c>
      <c r="B31" s="6" t="s">
        <v>582</v>
      </c>
      <c r="C31" s="5" t="s">
        <v>583</v>
      </c>
      <c r="D31" s="5" t="s">
        <v>566</v>
      </c>
      <c r="E31" s="5" t="s">
        <v>510</v>
      </c>
      <c r="F31" s="5" t="s">
        <v>547</v>
      </c>
      <c r="G31" s="5" t="s">
        <v>431</v>
      </c>
      <c r="H31" s="5"/>
      <c r="I31" s="5"/>
      <c r="J31" s="5"/>
      <c r="K31" s="5"/>
      <c r="L31" s="5" t="s">
        <v>584</v>
      </c>
      <c r="M31" s="5" t="s">
        <v>585</v>
      </c>
      <c r="N31" s="5" t="s">
        <v>586</v>
      </c>
      <c r="O31" s="6" t="s">
        <v>587</v>
      </c>
    </row>
    <row r="32" customFormat="false" ht="22.35" hidden="false" customHeight="false" outlineLevel="0" collapsed="false">
      <c r="A32" s="5" t="s">
        <v>34</v>
      </c>
      <c r="B32" s="6" t="s">
        <v>188</v>
      </c>
      <c r="C32" s="5" t="s">
        <v>588</v>
      </c>
      <c r="D32" s="5" t="s">
        <v>566</v>
      </c>
      <c r="E32" s="5" t="s">
        <v>510</v>
      </c>
      <c r="F32" s="5" t="s">
        <v>547</v>
      </c>
      <c r="G32" s="5" t="s">
        <v>431</v>
      </c>
      <c r="H32" s="5"/>
      <c r="I32" s="5"/>
      <c r="J32" s="5"/>
      <c r="K32" s="5"/>
      <c r="L32" s="5" t="s">
        <v>589</v>
      </c>
      <c r="M32" s="5" t="s">
        <v>590</v>
      </c>
      <c r="N32" s="5" t="s">
        <v>591</v>
      </c>
      <c r="O32" s="6" t="s">
        <v>192</v>
      </c>
    </row>
    <row r="33" customFormat="false" ht="22.35" hidden="false" customHeight="false" outlineLevel="0" collapsed="false">
      <c r="A33" s="5" t="s">
        <v>34</v>
      </c>
      <c r="B33" s="6" t="s">
        <v>175</v>
      </c>
      <c r="C33" s="5" t="s">
        <v>592</v>
      </c>
      <c r="D33" s="5" t="s">
        <v>566</v>
      </c>
      <c r="E33" s="5" t="s">
        <v>510</v>
      </c>
      <c r="F33" s="5" t="s">
        <v>547</v>
      </c>
      <c r="G33" s="5" t="s">
        <v>431</v>
      </c>
      <c r="H33" s="5"/>
      <c r="I33" s="5"/>
      <c r="J33" s="5"/>
      <c r="K33" s="5"/>
      <c r="L33" s="5" t="s">
        <v>593</v>
      </c>
      <c r="M33" s="5" t="s">
        <v>594</v>
      </c>
      <c r="N33" s="5" t="s">
        <v>595</v>
      </c>
      <c r="O33" s="6" t="s">
        <v>596</v>
      </c>
    </row>
    <row r="34" customFormat="false" ht="15" hidden="false" customHeight="false" outlineLevel="0" collapsed="false">
      <c r="A34" s="5" t="s">
        <v>34</v>
      </c>
      <c r="B34" s="6" t="s">
        <v>597</v>
      </c>
      <c r="C34" s="5" t="s">
        <v>598</v>
      </c>
      <c r="D34" s="5" t="s">
        <v>437</v>
      </c>
      <c r="E34" s="5" t="s">
        <v>510</v>
      </c>
      <c r="F34" s="5" t="s">
        <v>547</v>
      </c>
      <c r="G34" s="5" t="s">
        <v>431</v>
      </c>
      <c r="H34" s="5"/>
      <c r="I34" s="5"/>
      <c r="J34" s="5"/>
      <c r="K34" s="5"/>
      <c r="L34" s="5"/>
      <c r="M34" s="5" t="s">
        <v>599</v>
      </c>
      <c r="N34" s="5" t="s">
        <v>600</v>
      </c>
      <c r="O34" s="6" t="s">
        <v>601</v>
      </c>
    </row>
    <row r="35" customFormat="false" ht="22.35" hidden="false" customHeight="false" outlineLevel="0" collapsed="false">
      <c r="A35" s="5" t="s">
        <v>34</v>
      </c>
      <c r="B35" s="6" t="s">
        <v>602</v>
      </c>
      <c r="C35" s="5" t="s">
        <v>603</v>
      </c>
      <c r="D35" s="5" t="s">
        <v>566</v>
      </c>
      <c r="E35" s="5" t="s">
        <v>510</v>
      </c>
      <c r="F35" s="5" t="s">
        <v>547</v>
      </c>
      <c r="G35" s="5" t="s">
        <v>431</v>
      </c>
      <c r="H35" s="5"/>
      <c r="I35" s="5"/>
      <c r="J35" s="5"/>
      <c r="K35" s="5"/>
      <c r="L35" s="5" t="s">
        <v>604</v>
      </c>
      <c r="M35" s="5" t="s">
        <v>605</v>
      </c>
      <c r="N35" s="5" t="s">
        <v>606</v>
      </c>
      <c r="O35" s="6" t="s">
        <v>607</v>
      </c>
    </row>
    <row r="36" customFormat="false" ht="22.35" hidden="false" customHeight="false" outlineLevel="0" collapsed="false">
      <c r="A36" s="5" t="s">
        <v>34</v>
      </c>
      <c r="B36" s="6" t="s">
        <v>608</v>
      </c>
      <c r="C36" s="5" t="s">
        <v>609</v>
      </c>
      <c r="D36" s="5" t="s">
        <v>437</v>
      </c>
      <c r="E36" s="5" t="s">
        <v>429</v>
      </c>
      <c r="F36" s="5" t="s">
        <v>547</v>
      </c>
      <c r="G36" s="5" t="s">
        <v>431</v>
      </c>
      <c r="H36" s="5"/>
      <c r="I36" s="5"/>
      <c r="J36" s="5"/>
      <c r="K36" s="5" t="s">
        <v>610</v>
      </c>
      <c r="L36" s="5"/>
      <c r="M36" s="5" t="s">
        <v>611</v>
      </c>
      <c r="N36" s="5" t="s">
        <v>612</v>
      </c>
      <c r="O36" s="6" t="s">
        <v>613</v>
      </c>
    </row>
    <row r="37" customFormat="false" ht="23.85" hidden="false" customHeight="false" outlineLevel="0" collapsed="false">
      <c r="A37" s="5" t="s">
        <v>34</v>
      </c>
      <c r="B37" s="6" t="s">
        <v>614</v>
      </c>
      <c r="C37" s="5" t="s">
        <v>615</v>
      </c>
      <c r="D37" s="5" t="s">
        <v>428</v>
      </c>
      <c r="E37" s="5" t="s">
        <v>429</v>
      </c>
      <c r="F37" s="5" t="s">
        <v>616</v>
      </c>
      <c r="G37" s="5" t="s">
        <v>617</v>
      </c>
      <c r="H37" s="5"/>
      <c r="I37" s="5"/>
      <c r="J37" s="5"/>
      <c r="K37" s="5"/>
      <c r="L37" s="5"/>
      <c r="M37" s="5" t="s">
        <v>614</v>
      </c>
      <c r="N37" s="5" t="s">
        <v>618</v>
      </c>
      <c r="O37" s="6" t="s">
        <v>619</v>
      </c>
    </row>
    <row r="38" customFormat="false" ht="22.35" hidden="false" customHeight="false" outlineLevel="0" collapsed="false">
      <c r="A38" s="5" t="s">
        <v>34</v>
      </c>
      <c r="B38" s="6" t="s">
        <v>620</v>
      </c>
      <c r="C38" s="5" t="s">
        <v>621</v>
      </c>
      <c r="D38" s="5" t="s">
        <v>622</v>
      </c>
      <c r="E38" s="5" t="s">
        <v>510</v>
      </c>
      <c r="F38" s="5" t="s">
        <v>616</v>
      </c>
      <c r="G38" s="5" t="s">
        <v>431</v>
      </c>
      <c r="H38" s="5"/>
      <c r="I38" s="5"/>
      <c r="J38" s="5"/>
      <c r="K38" s="5"/>
      <c r="L38" s="5"/>
      <c r="M38" s="5" t="s">
        <v>623</v>
      </c>
      <c r="N38" s="5" t="s">
        <v>624</v>
      </c>
      <c r="O38" s="6" t="s">
        <v>625</v>
      </c>
    </row>
    <row r="39" customFormat="false" ht="22.35" hidden="false" customHeight="false" outlineLevel="0" collapsed="false">
      <c r="A39" s="5" t="s">
        <v>34</v>
      </c>
      <c r="B39" s="6" t="s">
        <v>626</v>
      </c>
      <c r="C39" s="5" t="s">
        <v>627</v>
      </c>
      <c r="D39" s="5" t="s">
        <v>622</v>
      </c>
      <c r="E39" s="5" t="s">
        <v>510</v>
      </c>
      <c r="F39" s="5" t="s">
        <v>616</v>
      </c>
      <c r="G39" s="5" t="s">
        <v>431</v>
      </c>
      <c r="H39" s="5"/>
      <c r="I39" s="5"/>
      <c r="J39" s="5"/>
      <c r="K39" s="5"/>
      <c r="L39" s="5"/>
      <c r="M39" s="5" t="s">
        <v>628</v>
      </c>
      <c r="N39" s="5" t="s">
        <v>629</v>
      </c>
      <c r="O39" s="6" t="s">
        <v>630</v>
      </c>
    </row>
    <row r="40" customFormat="false" ht="22.35" hidden="false" customHeight="false" outlineLevel="0" collapsed="false">
      <c r="A40" s="5" t="s">
        <v>34</v>
      </c>
      <c r="B40" s="6" t="s">
        <v>631</v>
      </c>
      <c r="C40" s="5" t="s">
        <v>632</v>
      </c>
      <c r="D40" s="5" t="s">
        <v>622</v>
      </c>
      <c r="E40" s="5" t="s">
        <v>510</v>
      </c>
      <c r="F40" s="5" t="s">
        <v>616</v>
      </c>
      <c r="G40" s="5" t="s">
        <v>431</v>
      </c>
      <c r="H40" s="5"/>
      <c r="I40" s="5"/>
      <c r="J40" s="5"/>
      <c r="K40" s="5"/>
      <c r="L40" s="5"/>
      <c r="M40" s="5" t="s">
        <v>633</v>
      </c>
      <c r="N40" s="5" t="s">
        <v>634</v>
      </c>
      <c r="O40" s="6" t="s">
        <v>635</v>
      </c>
    </row>
    <row r="41" customFormat="false" ht="23.85" hidden="false" customHeight="false" outlineLevel="0" collapsed="false">
      <c r="A41" s="5" t="s">
        <v>34</v>
      </c>
      <c r="B41" s="6" t="s">
        <v>236</v>
      </c>
      <c r="C41" s="5" t="s">
        <v>636</v>
      </c>
      <c r="D41" s="5" t="s">
        <v>428</v>
      </c>
      <c r="E41" s="5" t="s">
        <v>510</v>
      </c>
      <c r="F41" s="5" t="s">
        <v>616</v>
      </c>
      <c r="G41" s="5" t="s">
        <v>431</v>
      </c>
      <c r="H41" s="5"/>
      <c r="I41" s="5"/>
      <c r="J41" s="5"/>
      <c r="K41" s="5" t="s">
        <v>637</v>
      </c>
      <c r="L41" s="5"/>
      <c r="M41" s="5" t="s">
        <v>638</v>
      </c>
      <c r="N41" s="5" t="s">
        <v>639</v>
      </c>
      <c r="O41" s="6" t="s">
        <v>640</v>
      </c>
    </row>
    <row r="42" customFormat="false" ht="32.8" hidden="false" customHeight="false" outlineLevel="0" collapsed="false">
      <c r="A42" s="5" t="s">
        <v>34</v>
      </c>
      <c r="B42" s="6" t="s">
        <v>244</v>
      </c>
      <c r="C42" s="5" t="s">
        <v>641</v>
      </c>
      <c r="D42" s="5" t="s">
        <v>428</v>
      </c>
      <c r="E42" s="5" t="s">
        <v>510</v>
      </c>
      <c r="F42" s="5" t="s">
        <v>616</v>
      </c>
      <c r="G42" s="5" t="s">
        <v>431</v>
      </c>
      <c r="H42" s="5"/>
      <c r="I42" s="5"/>
      <c r="J42" s="5"/>
      <c r="K42" s="5" t="s">
        <v>642</v>
      </c>
      <c r="L42" s="5"/>
      <c r="M42" s="5" t="s">
        <v>643</v>
      </c>
      <c r="N42" s="5" t="s">
        <v>644</v>
      </c>
      <c r="O42" s="6" t="s">
        <v>246</v>
      </c>
    </row>
    <row r="43" customFormat="false" ht="32.8" hidden="false" customHeight="false" outlineLevel="0" collapsed="false">
      <c r="A43" s="5" t="s">
        <v>34</v>
      </c>
      <c r="B43" s="6" t="s">
        <v>645</v>
      </c>
      <c r="C43" s="5" t="s">
        <v>646</v>
      </c>
      <c r="D43" s="5" t="s">
        <v>622</v>
      </c>
      <c r="E43" s="5" t="s">
        <v>510</v>
      </c>
      <c r="F43" s="5" t="s">
        <v>616</v>
      </c>
      <c r="G43" s="5" t="s">
        <v>431</v>
      </c>
      <c r="H43" s="5"/>
      <c r="I43" s="5"/>
      <c r="J43" s="5"/>
      <c r="K43" s="5"/>
      <c r="L43" s="5"/>
      <c r="M43" s="5" t="s">
        <v>647</v>
      </c>
      <c r="N43" s="5" t="s">
        <v>648</v>
      </c>
      <c r="O43" s="6" t="s">
        <v>649</v>
      </c>
    </row>
    <row r="44" customFormat="false" ht="32.8" hidden="false" customHeight="false" outlineLevel="0" collapsed="false">
      <c r="A44" s="5" t="s">
        <v>34</v>
      </c>
      <c r="B44" s="6" t="s">
        <v>650</v>
      </c>
      <c r="C44" s="5" t="s">
        <v>651</v>
      </c>
      <c r="D44" s="5" t="s">
        <v>428</v>
      </c>
      <c r="E44" s="5" t="s">
        <v>429</v>
      </c>
      <c r="F44" s="5" t="s">
        <v>616</v>
      </c>
      <c r="G44" s="5" t="s">
        <v>431</v>
      </c>
      <c r="H44" s="5"/>
      <c r="I44" s="5"/>
      <c r="J44" s="5"/>
      <c r="K44" s="5" t="s">
        <v>652</v>
      </c>
      <c r="L44" s="5"/>
      <c r="M44" s="5" t="s">
        <v>653</v>
      </c>
      <c r="N44" s="5" t="s">
        <v>654</v>
      </c>
      <c r="O44" s="6" t="s">
        <v>655</v>
      </c>
    </row>
    <row r="45" customFormat="false" ht="22.35" hidden="false" customHeight="false" outlineLevel="0" collapsed="false">
      <c r="A45" s="5" t="s">
        <v>34</v>
      </c>
      <c r="B45" s="6" t="s">
        <v>656</v>
      </c>
      <c r="C45" s="5" t="s">
        <v>657</v>
      </c>
      <c r="D45" s="5" t="s">
        <v>428</v>
      </c>
      <c r="E45" s="5" t="s">
        <v>429</v>
      </c>
      <c r="F45" s="5" t="s">
        <v>616</v>
      </c>
      <c r="G45" s="5" t="s">
        <v>431</v>
      </c>
      <c r="H45" s="5"/>
      <c r="I45" s="5"/>
      <c r="J45" s="5"/>
      <c r="K45" s="5"/>
      <c r="L45" s="5"/>
      <c r="M45" s="5" t="s">
        <v>658</v>
      </c>
      <c r="N45" s="5" t="s">
        <v>659</v>
      </c>
      <c r="O45" s="6" t="s">
        <v>660</v>
      </c>
    </row>
    <row r="46" customFormat="false" ht="23.85" hidden="false" customHeight="false" outlineLevel="0" collapsed="false">
      <c r="A46" s="5" t="s">
        <v>34</v>
      </c>
      <c r="B46" s="6" t="s">
        <v>661</v>
      </c>
      <c r="C46" s="5" t="s">
        <v>662</v>
      </c>
      <c r="D46" s="5" t="s">
        <v>428</v>
      </c>
      <c r="E46" s="5" t="s">
        <v>429</v>
      </c>
      <c r="F46" s="5" t="s">
        <v>616</v>
      </c>
      <c r="G46" s="5" t="s">
        <v>617</v>
      </c>
      <c r="H46" s="5"/>
      <c r="I46" s="5"/>
      <c r="J46" s="5"/>
      <c r="K46" s="5"/>
      <c r="L46" s="5"/>
      <c r="M46" s="5" t="s">
        <v>663</v>
      </c>
      <c r="N46" s="5" t="s">
        <v>664</v>
      </c>
      <c r="O46" s="6" t="s">
        <v>665</v>
      </c>
    </row>
    <row r="47" customFormat="false" ht="23.85" hidden="false" customHeight="false" outlineLevel="0" collapsed="false">
      <c r="A47" s="5" t="s">
        <v>34</v>
      </c>
      <c r="B47" s="6" t="s">
        <v>666</v>
      </c>
      <c r="C47" s="5" t="s">
        <v>667</v>
      </c>
      <c r="D47" s="5" t="s">
        <v>428</v>
      </c>
      <c r="E47" s="5" t="s">
        <v>429</v>
      </c>
      <c r="F47" s="5" t="s">
        <v>616</v>
      </c>
      <c r="G47" s="5" t="s">
        <v>617</v>
      </c>
      <c r="H47" s="5"/>
      <c r="I47" s="5"/>
      <c r="J47" s="5"/>
      <c r="K47" s="5"/>
      <c r="L47" s="5"/>
      <c r="M47" s="5" t="s">
        <v>668</v>
      </c>
      <c r="N47" s="5" t="s">
        <v>669</v>
      </c>
      <c r="O47" s="6" t="s">
        <v>670</v>
      </c>
    </row>
    <row r="48" customFormat="false" ht="23.85" hidden="false" customHeight="false" outlineLevel="0" collapsed="false">
      <c r="A48" s="5" t="s">
        <v>34</v>
      </c>
      <c r="B48" s="6" t="s">
        <v>671</v>
      </c>
      <c r="C48" s="5" t="s">
        <v>672</v>
      </c>
      <c r="D48" s="5" t="s">
        <v>428</v>
      </c>
      <c r="E48" s="5" t="s">
        <v>429</v>
      </c>
      <c r="F48" s="5" t="s">
        <v>616</v>
      </c>
      <c r="G48" s="5" t="s">
        <v>617</v>
      </c>
      <c r="H48" s="5"/>
      <c r="I48" s="5"/>
      <c r="J48" s="5"/>
      <c r="K48" s="5"/>
      <c r="L48" s="5"/>
      <c r="M48" s="5" t="s">
        <v>673</v>
      </c>
      <c r="N48" s="5" t="s">
        <v>674</v>
      </c>
      <c r="O48" s="6" t="s">
        <v>675</v>
      </c>
    </row>
    <row r="49" customFormat="false" ht="23.85" hidden="false" customHeight="false" outlineLevel="0" collapsed="false">
      <c r="A49" s="5" t="s">
        <v>34</v>
      </c>
      <c r="B49" s="6" t="s">
        <v>676</v>
      </c>
      <c r="C49" s="5" t="s">
        <v>677</v>
      </c>
      <c r="D49" s="5" t="s">
        <v>428</v>
      </c>
      <c r="E49" s="5" t="s">
        <v>429</v>
      </c>
      <c r="F49" s="5" t="s">
        <v>616</v>
      </c>
      <c r="G49" s="5" t="s">
        <v>617</v>
      </c>
      <c r="H49" s="5"/>
      <c r="I49" s="5"/>
      <c r="J49" s="5"/>
      <c r="K49" s="5"/>
      <c r="L49" s="5"/>
      <c r="M49" s="5" t="s">
        <v>678</v>
      </c>
      <c r="N49" s="5" t="s">
        <v>679</v>
      </c>
      <c r="O49" s="6" t="s">
        <v>680</v>
      </c>
    </row>
    <row r="50" customFormat="false" ht="23.85" hidden="false" customHeight="false" outlineLevel="0" collapsed="false">
      <c r="A50" s="5" t="s">
        <v>34</v>
      </c>
      <c r="B50" s="6" t="s">
        <v>681</v>
      </c>
      <c r="C50" s="5" t="s">
        <v>682</v>
      </c>
      <c r="D50" s="5" t="s">
        <v>428</v>
      </c>
      <c r="E50" s="5" t="s">
        <v>429</v>
      </c>
      <c r="F50" s="5" t="s">
        <v>616</v>
      </c>
      <c r="G50" s="5" t="s">
        <v>617</v>
      </c>
      <c r="H50" s="5"/>
      <c r="I50" s="5"/>
      <c r="J50" s="5"/>
      <c r="K50" s="5"/>
      <c r="L50" s="5"/>
      <c r="M50" s="5" t="s">
        <v>683</v>
      </c>
      <c r="N50" s="5" t="s">
        <v>684</v>
      </c>
      <c r="O50" s="6" t="s">
        <v>685</v>
      </c>
    </row>
    <row r="51" customFormat="false" ht="23.85" hidden="false" customHeight="false" outlineLevel="0" collapsed="false">
      <c r="A51" s="5" t="s">
        <v>34</v>
      </c>
      <c r="B51" s="6" t="s">
        <v>686</v>
      </c>
      <c r="C51" s="5" t="s">
        <v>687</v>
      </c>
      <c r="D51" s="5" t="s">
        <v>428</v>
      </c>
      <c r="E51" s="5" t="s">
        <v>429</v>
      </c>
      <c r="F51" s="5" t="s">
        <v>616</v>
      </c>
      <c r="G51" s="5" t="s">
        <v>617</v>
      </c>
      <c r="H51" s="5"/>
      <c r="I51" s="5"/>
      <c r="J51" s="5"/>
      <c r="K51" s="5"/>
      <c r="L51" s="5"/>
      <c r="M51" s="5" t="s">
        <v>688</v>
      </c>
      <c r="N51" s="5" t="s">
        <v>689</v>
      </c>
      <c r="O51" s="6" t="s">
        <v>690</v>
      </c>
    </row>
    <row r="52" customFormat="false" ht="22.35" hidden="false" customHeight="false" outlineLevel="0" collapsed="false">
      <c r="A52" s="5" t="s">
        <v>34</v>
      </c>
      <c r="B52" s="6" t="s">
        <v>691</v>
      </c>
      <c r="C52" s="5" t="s">
        <v>692</v>
      </c>
      <c r="D52" s="5" t="s">
        <v>622</v>
      </c>
      <c r="E52" s="5" t="s">
        <v>510</v>
      </c>
      <c r="F52" s="5" t="s">
        <v>616</v>
      </c>
      <c r="G52" s="5" t="s">
        <v>431</v>
      </c>
      <c r="H52" s="5"/>
      <c r="I52" s="5"/>
      <c r="J52" s="5"/>
      <c r="K52" s="5"/>
      <c r="L52" s="5"/>
      <c r="M52" s="5" t="s">
        <v>693</v>
      </c>
      <c r="N52" s="5" t="s">
        <v>694</v>
      </c>
      <c r="O52" s="6" t="s">
        <v>695</v>
      </c>
    </row>
    <row r="53" customFormat="false" ht="22.35" hidden="false" customHeight="false" outlineLevel="0" collapsed="false">
      <c r="A53" s="5" t="s">
        <v>34</v>
      </c>
      <c r="B53" s="6" t="s">
        <v>696</v>
      </c>
      <c r="C53" s="5" t="s">
        <v>697</v>
      </c>
      <c r="D53" s="5" t="s">
        <v>622</v>
      </c>
      <c r="E53" s="5" t="s">
        <v>510</v>
      </c>
      <c r="F53" s="5" t="s">
        <v>616</v>
      </c>
      <c r="G53" s="5" t="s">
        <v>431</v>
      </c>
      <c r="H53" s="5"/>
      <c r="I53" s="5"/>
      <c r="J53" s="5"/>
      <c r="K53" s="5"/>
      <c r="L53" s="5"/>
      <c r="M53" s="5" t="s">
        <v>698</v>
      </c>
      <c r="N53" s="5" t="s">
        <v>699</v>
      </c>
      <c r="O53" s="6" t="s">
        <v>700</v>
      </c>
    </row>
    <row r="54" customFormat="false" ht="22.35" hidden="false" customHeight="false" outlineLevel="0" collapsed="false">
      <c r="A54" s="5" t="s">
        <v>34</v>
      </c>
      <c r="B54" s="6" t="s">
        <v>701</v>
      </c>
      <c r="C54" s="5" t="s">
        <v>702</v>
      </c>
      <c r="D54" s="5" t="s">
        <v>622</v>
      </c>
      <c r="E54" s="5" t="s">
        <v>510</v>
      </c>
      <c r="F54" s="5" t="s">
        <v>616</v>
      </c>
      <c r="G54" s="5" t="s">
        <v>431</v>
      </c>
      <c r="H54" s="5"/>
      <c r="I54" s="5"/>
      <c r="J54" s="5"/>
      <c r="K54" s="5"/>
      <c r="L54" s="5"/>
      <c r="M54" s="5" t="s">
        <v>703</v>
      </c>
      <c r="N54" s="5" t="s">
        <v>704</v>
      </c>
      <c r="O54" s="6" t="s">
        <v>705</v>
      </c>
    </row>
    <row r="55" customFormat="false" ht="22.35" hidden="false" customHeight="false" outlineLevel="0" collapsed="false">
      <c r="A55" s="5" t="s">
        <v>34</v>
      </c>
      <c r="B55" s="6" t="s">
        <v>706</v>
      </c>
      <c r="C55" s="5" t="s">
        <v>707</v>
      </c>
      <c r="D55" s="5" t="s">
        <v>622</v>
      </c>
      <c r="E55" s="5" t="s">
        <v>510</v>
      </c>
      <c r="F55" s="5" t="s">
        <v>616</v>
      </c>
      <c r="G55" s="5" t="s">
        <v>431</v>
      </c>
      <c r="H55" s="5"/>
      <c r="I55" s="5"/>
      <c r="J55" s="5"/>
      <c r="K55" s="5"/>
      <c r="L55" s="5"/>
      <c r="M55" s="5" t="s">
        <v>708</v>
      </c>
      <c r="N55" s="5" t="s">
        <v>709</v>
      </c>
      <c r="O55" s="6" t="s">
        <v>710</v>
      </c>
    </row>
    <row r="56" customFormat="false" ht="22.35" hidden="false" customHeight="false" outlineLevel="0" collapsed="false">
      <c r="A56" s="5" t="s">
        <v>34</v>
      </c>
      <c r="B56" s="6" t="s">
        <v>711</v>
      </c>
      <c r="C56" s="5" t="s">
        <v>712</v>
      </c>
      <c r="D56" s="5" t="s">
        <v>622</v>
      </c>
      <c r="E56" s="5" t="s">
        <v>510</v>
      </c>
      <c r="F56" s="5" t="s">
        <v>616</v>
      </c>
      <c r="G56" s="5" t="s">
        <v>431</v>
      </c>
      <c r="H56" s="5"/>
      <c r="I56" s="5"/>
      <c r="J56" s="5"/>
      <c r="K56" s="5"/>
      <c r="L56" s="5"/>
      <c r="M56" s="5" t="s">
        <v>713</v>
      </c>
      <c r="N56" s="5" t="s">
        <v>714</v>
      </c>
      <c r="O56" s="6" t="s">
        <v>715</v>
      </c>
    </row>
    <row r="57" customFormat="false" ht="22.35" hidden="false" customHeight="false" outlineLevel="0" collapsed="false">
      <c r="A57" s="5" t="s">
        <v>34</v>
      </c>
      <c r="B57" s="6" t="s">
        <v>716</v>
      </c>
      <c r="C57" s="5" t="s">
        <v>717</v>
      </c>
      <c r="D57" s="5" t="s">
        <v>428</v>
      </c>
      <c r="E57" s="5" t="s">
        <v>510</v>
      </c>
      <c r="F57" s="5" t="s">
        <v>616</v>
      </c>
      <c r="G57" s="5" t="s">
        <v>431</v>
      </c>
      <c r="H57" s="5"/>
      <c r="I57" s="5"/>
      <c r="J57" s="5"/>
      <c r="K57" s="5"/>
      <c r="L57" s="5"/>
      <c r="M57" s="5" t="s">
        <v>718</v>
      </c>
      <c r="N57" s="5" t="s">
        <v>719</v>
      </c>
      <c r="O57" s="6" t="s">
        <v>720</v>
      </c>
    </row>
    <row r="58" customFormat="false" ht="22.35" hidden="false" customHeight="false" outlineLevel="0" collapsed="false">
      <c r="A58" s="5" t="s">
        <v>34</v>
      </c>
      <c r="B58" s="6" t="s">
        <v>721</v>
      </c>
      <c r="C58" s="5" t="s">
        <v>722</v>
      </c>
      <c r="D58" s="5" t="s">
        <v>428</v>
      </c>
      <c r="E58" s="5" t="s">
        <v>429</v>
      </c>
      <c r="F58" s="5" t="s">
        <v>616</v>
      </c>
      <c r="G58" s="5" t="s">
        <v>431</v>
      </c>
      <c r="H58" s="5"/>
      <c r="I58" s="5"/>
      <c r="J58" s="5"/>
      <c r="K58" s="5"/>
      <c r="L58" s="5"/>
      <c r="M58" s="5" t="s">
        <v>723</v>
      </c>
      <c r="N58" s="5" t="s">
        <v>724</v>
      </c>
      <c r="O58" s="6" t="s">
        <v>725</v>
      </c>
    </row>
    <row r="59" customFormat="false" ht="22.35" hidden="false" customHeight="false" outlineLevel="0" collapsed="false">
      <c r="A59" s="5" t="s">
        <v>34</v>
      </c>
      <c r="B59" s="6" t="s">
        <v>245</v>
      </c>
      <c r="C59" s="5" t="s">
        <v>726</v>
      </c>
      <c r="D59" s="5" t="s">
        <v>622</v>
      </c>
      <c r="E59" s="5" t="s">
        <v>510</v>
      </c>
      <c r="F59" s="5" t="s">
        <v>616</v>
      </c>
      <c r="G59" s="5" t="s">
        <v>431</v>
      </c>
      <c r="H59" s="5"/>
      <c r="I59" s="5"/>
      <c r="J59" s="5"/>
      <c r="K59" s="5"/>
      <c r="L59" s="5"/>
      <c r="M59" s="5" t="s">
        <v>727</v>
      </c>
      <c r="N59" s="5" t="s">
        <v>728</v>
      </c>
      <c r="O59" s="6" t="s">
        <v>729</v>
      </c>
    </row>
    <row r="60" customFormat="false" ht="22.35" hidden="false" customHeight="false" outlineLevel="0" collapsed="false">
      <c r="A60" s="5" t="s">
        <v>34</v>
      </c>
      <c r="B60" s="6" t="s">
        <v>730</v>
      </c>
      <c r="C60" s="5" t="s">
        <v>731</v>
      </c>
      <c r="D60" s="5" t="s">
        <v>622</v>
      </c>
      <c r="E60" s="5" t="s">
        <v>510</v>
      </c>
      <c r="F60" s="5" t="s">
        <v>616</v>
      </c>
      <c r="G60" s="5" t="s">
        <v>431</v>
      </c>
      <c r="H60" s="5"/>
      <c r="I60" s="5"/>
      <c r="J60" s="5"/>
      <c r="K60" s="5"/>
      <c r="L60" s="5"/>
      <c r="M60" s="5" t="s">
        <v>732</v>
      </c>
      <c r="N60" s="5" t="s">
        <v>733</v>
      </c>
      <c r="O60" s="6" t="s">
        <v>734</v>
      </c>
    </row>
    <row r="61" customFormat="false" ht="23.85" hidden="false" customHeight="false" outlineLevel="0" collapsed="false">
      <c r="A61" s="5" t="s">
        <v>34</v>
      </c>
      <c r="B61" s="6" t="s">
        <v>735</v>
      </c>
      <c r="C61" s="5" t="s">
        <v>736</v>
      </c>
      <c r="D61" s="5" t="s">
        <v>622</v>
      </c>
      <c r="E61" s="5" t="s">
        <v>510</v>
      </c>
      <c r="F61" s="5" t="s">
        <v>616</v>
      </c>
      <c r="G61" s="5" t="s">
        <v>431</v>
      </c>
      <c r="H61" s="5"/>
      <c r="I61" s="5"/>
      <c r="J61" s="5"/>
      <c r="K61" s="5"/>
      <c r="L61" s="5"/>
      <c r="M61" s="5" t="s">
        <v>737</v>
      </c>
      <c r="N61" s="5" t="s">
        <v>738</v>
      </c>
      <c r="O61" s="6" t="s">
        <v>739</v>
      </c>
    </row>
    <row r="62" customFormat="false" ht="23.85" hidden="false" customHeight="false" outlineLevel="0" collapsed="false">
      <c r="A62" s="5" t="s">
        <v>34</v>
      </c>
      <c r="B62" s="6" t="s">
        <v>740</v>
      </c>
      <c r="C62" s="5" t="s">
        <v>741</v>
      </c>
      <c r="D62" s="5" t="s">
        <v>428</v>
      </c>
      <c r="E62" s="5" t="s">
        <v>429</v>
      </c>
      <c r="F62" s="5" t="s">
        <v>616</v>
      </c>
      <c r="G62" s="5" t="s">
        <v>617</v>
      </c>
      <c r="H62" s="5"/>
      <c r="I62" s="5"/>
      <c r="J62" s="5"/>
      <c r="K62" s="5"/>
      <c r="L62" s="5"/>
      <c r="M62" s="5" t="s">
        <v>742</v>
      </c>
      <c r="N62" s="5" t="s">
        <v>743</v>
      </c>
      <c r="O62" s="6" t="s">
        <v>744</v>
      </c>
    </row>
    <row r="63" customFormat="false" ht="22.35" hidden="false" customHeight="false" outlineLevel="0" collapsed="false">
      <c r="A63" s="5" t="s">
        <v>34</v>
      </c>
      <c r="B63" s="6" t="s">
        <v>745</v>
      </c>
      <c r="C63" s="5" t="s">
        <v>746</v>
      </c>
      <c r="D63" s="5" t="s">
        <v>622</v>
      </c>
      <c r="E63" s="5" t="s">
        <v>510</v>
      </c>
      <c r="F63" s="5" t="s">
        <v>616</v>
      </c>
      <c r="G63" s="5" t="s">
        <v>431</v>
      </c>
      <c r="H63" s="5"/>
      <c r="I63" s="5"/>
      <c r="J63" s="5"/>
      <c r="K63" s="5"/>
      <c r="L63" s="5"/>
      <c r="M63" s="5" t="s">
        <v>747</v>
      </c>
      <c r="N63" s="5" t="s">
        <v>748</v>
      </c>
      <c r="O63" s="6" t="s">
        <v>749</v>
      </c>
    </row>
    <row r="64" customFormat="false" ht="22.35" hidden="false" customHeight="false" outlineLevel="0" collapsed="false">
      <c r="A64" s="7" t="s">
        <v>34</v>
      </c>
      <c r="B64" s="8" t="s">
        <v>750</v>
      </c>
      <c r="C64" s="7" t="s">
        <v>751</v>
      </c>
      <c r="D64" s="7" t="s">
        <v>509</v>
      </c>
      <c r="E64" s="7" t="s">
        <v>510</v>
      </c>
      <c r="F64" s="7" t="s">
        <v>752</v>
      </c>
      <c r="G64" s="7" t="s">
        <v>753</v>
      </c>
      <c r="H64" s="7"/>
      <c r="I64" s="7"/>
      <c r="J64" s="7"/>
      <c r="K64" s="7"/>
      <c r="L64" s="7"/>
      <c r="M64" s="7" t="s">
        <v>754</v>
      </c>
      <c r="N64" s="7" t="s">
        <v>755</v>
      </c>
      <c r="O64" s="8" t="s">
        <v>756</v>
      </c>
    </row>
    <row r="65" customFormat="false" ht="32.8" hidden="false" customHeight="false" outlineLevel="0" collapsed="false">
      <c r="A65" s="7" t="s">
        <v>34</v>
      </c>
      <c r="B65" s="8" t="s">
        <v>757</v>
      </c>
      <c r="C65" s="7" t="s">
        <v>758</v>
      </c>
      <c r="D65" s="7" t="s">
        <v>509</v>
      </c>
      <c r="E65" s="7" t="s">
        <v>510</v>
      </c>
      <c r="F65" s="7" t="s">
        <v>752</v>
      </c>
      <c r="G65" s="7" t="s">
        <v>753</v>
      </c>
      <c r="H65" s="7"/>
      <c r="I65" s="7"/>
      <c r="J65" s="7"/>
      <c r="K65" s="7"/>
      <c r="L65" s="7"/>
      <c r="M65" s="7" t="s">
        <v>759</v>
      </c>
      <c r="N65" s="7" t="s">
        <v>760</v>
      </c>
      <c r="O65" s="8" t="s">
        <v>761</v>
      </c>
    </row>
    <row r="66" customFormat="false" ht="22.35" hidden="false" customHeight="false" outlineLevel="0" collapsed="false">
      <c r="A66" s="7" t="s">
        <v>34</v>
      </c>
      <c r="B66" s="8" t="s">
        <v>762</v>
      </c>
      <c r="C66" s="7" t="s">
        <v>763</v>
      </c>
      <c r="D66" s="7" t="s">
        <v>509</v>
      </c>
      <c r="E66" s="7" t="s">
        <v>510</v>
      </c>
      <c r="F66" s="7" t="s">
        <v>752</v>
      </c>
      <c r="G66" s="7" t="s">
        <v>753</v>
      </c>
      <c r="H66" s="7"/>
      <c r="I66" s="7"/>
      <c r="J66" s="7"/>
      <c r="K66" s="7"/>
      <c r="L66" s="7"/>
      <c r="M66" s="7" t="s">
        <v>764</v>
      </c>
      <c r="N66" s="7" t="s">
        <v>765</v>
      </c>
      <c r="O66" s="8" t="s">
        <v>766</v>
      </c>
    </row>
    <row r="67" customFormat="false" ht="15" hidden="false" customHeight="false" outlineLevel="0" collapsed="false">
      <c r="A67" s="7" t="s">
        <v>34</v>
      </c>
      <c r="B67" s="8" t="s">
        <v>767</v>
      </c>
      <c r="C67" s="7" t="s">
        <v>768</v>
      </c>
      <c r="D67" s="7" t="s">
        <v>509</v>
      </c>
      <c r="E67" s="7" t="s">
        <v>510</v>
      </c>
      <c r="F67" s="7" t="s">
        <v>752</v>
      </c>
      <c r="G67" s="7" t="s">
        <v>753</v>
      </c>
      <c r="H67" s="7"/>
      <c r="I67" s="7"/>
      <c r="J67" s="7"/>
      <c r="K67" s="7"/>
      <c r="L67" s="7"/>
      <c r="M67" s="7" t="s">
        <v>769</v>
      </c>
      <c r="N67" s="7" t="s">
        <v>770</v>
      </c>
      <c r="O67" s="8" t="s">
        <v>771</v>
      </c>
    </row>
    <row r="68" customFormat="false" ht="22.35" hidden="false" customHeight="false" outlineLevel="0" collapsed="false">
      <c r="A68" s="7" t="s">
        <v>34</v>
      </c>
      <c r="B68" s="8" t="s">
        <v>772</v>
      </c>
      <c r="C68" s="7" t="s">
        <v>773</v>
      </c>
      <c r="D68" s="7" t="s">
        <v>622</v>
      </c>
      <c r="E68" s="7" t="s">
        <v>510</v>
      </c>
      <c r="F68" s="7" t="s">
        <v>752</v>
      </c>
      <c r="G68" s="7" t="s">
        <v>753</v>
      </c>
      <c r="H68" s="7"/>
      <c r="I68" s="7"/>
      <c r="J68" s="7"/>
      <c r="K68" s="7"/>
      <c r="L68" s="7"/>
      <c r="M68" s="7" t="s">
        <v>774</v>
      </c>
      <c r="N68" s="7" t="s">
        <v>775</v>
      </c>
      <c r="O68" s="8" t="s">
        <v>776</v>
      </c>
    </row>
    <row r="69" customFormat="false" ht="22.35" hidden="false" customHeight="false" outlineLevel="0" collapsed="false">
      <c r="A69" s="7" t="s">
        <v>34</v>
      </c>
      <c r="B69" s="8" t="s">
        <v>777</v>
      </c>
      <c r="C69" s="7" t="s">
        <v>777</v>
      </c>
      <c r="D69" s="7" t="s">
        <v>437</v>
      </c>
      <c r="E69" s="7" t="s">
        <v>429</v>
      </c>
      <c r="F69" s="7" t="s">
        <v>752</v>
      </c>
      <c r="G69" s="7" t="s">
        <v>753</v>
      </c>
      <c r="H69" s="7"/>
      <c r="I69" s="7"/>
      <c r="J69" s="7"/>
      <c r="K69" s="7"/>
      <c r="L69" s="7"/>
      <c r="M69" s="7" t="s">
        <v>777</v>
      </c>
      <c r="N69" s="7" t="s">
        <v>778</v>
      </c>
      <c r="O69" s="8" t="s">
        <v>779</v>
      </c>
    </row>
    <row r="70" customFormat="false" ht="22.35" hidden="false" customHeight="false" outlineLevel="0" collapsed="false">
      <c r="A70" s="7" t="s">
        <v>34</v>
      </c>
      <c r="B70" s="8" t="s">
        <v>780</v>
      </c>
      <c r="C70" s="7" t="s">
        <v>780</v>
      </c>
      <c r="D70" s="7" t="s">
        <v>437</v>
      </c>
      <c r="E70" s="7" t="s">
        <v>429</v>
      </c>
      <c r="F70" s="7" t="s">
        <v>752</v>
      </c>
      <c r="G70" s="7" t="s">
        <v>753</v>
      </c>
      <c r="H70" s="7"/>
      <c r="I70" s="7"/>
      <c r="J70" s="7"/>
      <c r="K70" s="7"/>
      <c r="L70" s="7"/>
      <c r="M70" s="7" t="s">
        <v>780</v>
      </c>
      <c r="N70" s="7" t="s">
        <v>781</v>
      </c>
      <c r="O70" s="8" t="s">
        <v>782</v>
      </c>
    </row>
    <row r="71" customFormat="false" ht="22.35" hidden="false" customHeight="false" outlineLevel="0" collapsed="false">
      <c r="A71" s="7" t="s">
        <v>34</v>
      </c>
      <c r="B71" s="8" t="s">
        <v>783</v>
      </c>
      <c r="C71" s="7" t="s">
        <v>783</v>
      </c>
      <c r="D71" s="7" t="s">
        <v>437</v>
      </c>
      <c r="E71" s="7" t="s">
        <v>510</v>
      </c>
      <c r="F71" s="7" t="s">
        <v>752</v>
      </c>
      <c r="G71" s="7" t="s">
        <v>753</v>
      </c>
      <c r="H71" s="7"/>
      <c r="I71" s="7"/>
      <c r="J71" s="7"/>
      <c r="K71" s="7"/>
      <c r="L71" s="7"/>
      <c r="M71" s="7" t="s">
        <v>783</v>
      </c>
      <c r="N71" s="7" t="s">
        <v>784</v>
      </c>
      <c r="O71" s="8" t="s">
        <v>785</v>
      </c>
    </row>
    <row r="72" customFormat="false" ht="22.35" hidden="false" customHeight="false" outlineLevel="0" collapsed="false">
      <c r="A72" s="7" t="s">
        <v>34</v>
      </c>
      <c r="B72" s="8" t="s">
        <v>786</v>
      </c>
      <c r="C72" s="7" t="s">
        <v>786</v>
      </c>
      <c r="D72" s="7" t="s">
        <v>437</v>
      </c>
      <c r="E72" s="7" t="s">
        <v>510</v>
      </c>
      <c r="F72" s="7" t="s">
        <v>752</v>
      </c>
      <c r="G72" s="7" t="s">
        <v>753</v>
      </c>
      <c r="H72" s="7"/>
      <c r="I72" s="7"/>
      <c r="J72" s="7"/>
      <c r="K72" s="7"/>
      <c r="L72" s="7"/>
      <c r="M72" s="7" t="s">
        <v>786</v>
      </c>
      <c r="N72" s="7" t="s">
        <v>787</v>
      </c>
      <c r="O72" s="8" t="s">
        <v>788</v>
      </c>
    </row>
    <row r="73" customFormat="false" ht="22.35" hidden="false" customHeight="false" outlineLevel="0" collapsed="false">
      <c r="A73" s="7" t="s">
        <v>34</v>
      </c>
      <c r="B73" s="8" t="s">
        <v>789</v>
      </c>
      <c r="C73" s="7" t="s">
        <v>789</v>
      </c>
      <c r="D73" s="7" t="s">
        <v>509</v>
      </c>
      <c r="E73" s="7" t="s">
        <v>510</v>
      </c>
      <c r="F73" s="7" t="s">
        <v>752</v>
      </c>
      <c r="G73" s="7" t="s">
        <v>753</v>
      </c>
      <c r="H73" s="7"/>
      <c r="I73" s="7"/>
      <c r="J73" s="7"/>
      <c r="K73" s="7"/>
      <c r="L73" s="7"/>
      <c r="M73" s="7" t="s">
        <v>789</v>
      </c>
      <c r="N73" s="7" t="s">
        <v>790</v>
      </c>
      <c r="O73" s="8" t="s">
        <v>791</v>
      </c>
    </row>
    <row r="74" customFormat="false" ht="22.35" hidden="false" customHeight="false" outlineLevel="0" collapsed="false">
      <c r="A74" s="7" t="s">
        <v>34</v>
      </c>
      <c r="B74" s="8" t="s">
        <v>792</v>
      </c>
      <c r="C74" s="7" t="s">
        <v>792</v>
      </c>
      <c r="D74" s="7" t="s">
        <v>437</v>
      </c>
      <c r="E74" s="7" t="s">
        <v>429</v>
      </c>
      <c r="F74" s="7" t="s">
        <v>752</v>
      </c>
      <c r="G74" s="7" t="s">
        <v>753</v>
      </c>
      <c r="H74" s="7"/>
      <c r="I74" s="7"/>
      <c r="J74" s="7"/>
      <c r="K74" s="7"/>
      <c r="L74" s="7"/>
      <c r="M74" s="7" t="s">
        <v>792</v>
      </c>
      <c r="N74" s="7" t="s">
        <v>793</v>
      </c>
      <c r="O74" s="8" t="s">
        <v>794</v>
      </c>
    </row>
    <row r="75" customFormat="false" ht="23.85" hidden="false" customHeight="false" outlineLevel="0" collapsed="false">
      <c r="A75" s="7" t="s">
        <v>34</v>
      </c>
      <c r="B75" s="8" t="s">
        <v>795</v>
      </c>
      <c r="C75" s="7" t="s">
        <v>796</v>
      </c>
      <c r="D75" s="7" t="s">
        <v>437</v>
      </c>
      <c r="E75" s="7" t="s">
        <v>429</v>
      </c>
      <c r="F75" s="7" t="s">
        <v>752</v>
      </c>
      <c r="G75" s="7" t="s">
        <v>753</v>
      </c>
      <c r="H75" s="7"/>
      <c r="I75" s="7"/>
      <c r="J75" s="7"/>
      <c r="K75" s="7"/>
      <c r="L75" s="7"/>
      <c r="M75" s="7" t="s">
        <v>795</v>
      </c>
      <c r="N75" s="7" t="s">
        <v>797</v>
      </c>
      <c r="O75" s="8" t="s">
        <v>798</v>
      </c>
    </row>
    <row r="76" customFormat="false" ht="22.35" hidden="false" customHeight="false" outlineLevel="0" collapsed="false">
      <c r="A76" s="7" t="s">
        <v>34</v>
      </c>
      <c r="B76" s="8" t="s">
        <v>799</v>
      </c>
      <c r="C76" s="7" t="s">
        <v>799</v>
      </c>
      <c r="D76" s="7" t="s">
        <v>437</v>
      </c>
      <c r="E76" s="7" t="s">
        <v>510</v>
      </c>
      <c r="F76" s="7" t="s">
        <v>752</v>
      </c>
      <c r="G76" s="7" t="s">
        <v>753</v>
      </c>
      <c r="H76" s="7"/>
      <c r="I76" s="7"/>
      <c r="J76" s="7"/>
      <c r="K76" s="7"/>
      <c r="L76" s="7"/>
      <c r="M76" s="7" t="s">
        <v>799</v>
      </c>
      <c r="N76" s="7" t="s">
        <v>800</v>
      </c>
      <c r="O76" s="8" t="s">
        <v>801</v>
      </c>
    </row>
    <row r="77" customFormat="false" ht="32.8" hidden="false" customHeight="false" outlineLevel="0" collapsed="false">
      <c r="A77" s="7" t="s">
        <v>34</v>
      </c>
      <c r="B77" s="8" t="s">
        <v>802</v>
      </c>
      <c r="C77" s="7" t="s">
        <v>803</v>
      </c>
      <c r="D77" s="7" t="s">
        <v>509</v>
      </c>
      <c r="E77" s="7" t="s">
        <v>429</v>
      </c>
      <c r="F77" s="7" t="s">
        <v>752</v>
      </c>
      <c r="G77" s="7" t="s">
        <v>753</v>
      </c>
      <c r="H77" s="7"/>
      <c r="I77" s="7"/>
      <c r="J77" s="7"/>
      <c r="K77" s="7"/>
      <c r="L77" s="7"/>
      <c r="M77" s="7" t="s">
        <v>804</v>
      </c>
      <c r="N77" s="7" t="s">
        <v>805</v>
      </c>
      <c r="O77" s="8" t="s">
        <v>806</v>
      </c>
    </row>
    <row r="78" customFormat="false" ht="22.35" hidden="false" customHeight="false" outlineLevel="0" collapsed="false">
      <c r="A78" s="7" t="s">
        <v>34</v>
      </c>
      <c r="B78" s="8" t="s">
        <v>807</v>
      </c>
      <c r="C78" s="7" t="s">
        <v>808</v>
      </c>
      <c r="D78" s="7" t="s">
        <v>509</v>
      </c>
      <c r="E78" s="7" t="s">
        <v>429</v>
      </c>
      <c r="F78" s="7" t="s">
        <v>752</v>
      </c>
      <c r="G78" s="7" t="s">
        <v>753</v>
      </c>
      <c r="H78" s="7"/>
      <c r="I78" s="7"/>
      <c r="J78" s="7"/>
      <c r="K78" s="7"/>
      <c r="L78" s="7"/>
      <c r="M78" s="7" t="s">
        <v>807</v>
      </c>
      <c r="N78" s="7" t="s">
        <v>809</v>
      </c>
      <c r="O78" s="8" t="s">
        <v>810</v>
      </c>
    </row>
    <row r="79" customFormat="false" ht="32.8" hidden="false" customHeight="false" outlineLevel="0" collapsed="false">
      <c r="A79" s="7" t="s">
        <v>34</v>
      </c>
      <c r="B79" s="8" t="s">
        <v>811</v>
      </c>
      <c r="C79" s="7" t="s">
        <v>812</v>
      </c>
      <c r="D79" s="7" t="s">
        <v>509</v>
      </c>
      <c r="E79" s="7" t="s">
        <v>429</v>
      </c>
      <c r="F79" s="7" t="s">
        <v>752</v>
      </c>
      <c r="G79" s="7" t="s">
        <v>753</v>
      </c>
      <c r="H79" s="7"/>
      <c r="I79" s="7"/>
      <c r="J79" s="7"/>
      <c r="K79" s="7"/>
      <c r="L79" s="7"/>
      <c r="M79" s="7" t="s">
        <v>812</v>
      </c>
      <c r="N79" s="7" t="s">
        <v>813</v>
      </c>
      <c r="O79" s="8" t="s">
        <v>814</v>
      </c>
    </row>
    <row r="80" customFormat="false" ht="22.35" hidden="false" customHeight="false" outlineLevel="0" collapsed="false">
      <c r="A80" s="7" t="s">
        <v>34</v>
      </c>
      <c r="B80" s="8" t="s">
        <v>815</v>
      </c>
      <c r="C80" s="7" t="s">
        <v>816</v>
      </c>
      <c r="D80" s="7" t="s">
        <v>622</v>
      </c>
      <c r="E80" s="7" t="s">
        <v>510</v>
      </c>
      <c r="F80" s="7" t="s">
        <v>752</v>
      </c>
      <c r="G80" s="7" t="s">
        <v>753</v>
      </c>
      <c r="H80" s="7"/>
      <c r="I80" s="7"/>
      <c r="J80" s="7"/>
      <c r="K80" s="7"/>
      <c r="L80" s="7"/>
      <c r="M80" s="7" t="s">
        <v>815</v>
      </c>
      <c r="N80" s="7" t="s">
        <v>817</v>
      </c>
      <c r="O80" s="8" t="s">
        <v>818</v>
      </c>
    </row>
    <row r="81" customFormat="false" ht="22.35" hidden="false" customHeight="false" outlineLevel="0" collapsed="false">
      <c r="A81" s="7" t="s">
        <v>34</v>
      </c>
      <c r="B81" s="8" t="s">
        <v>819</v>
      </c>
      <c r="C81" s="7" t="s">
        <v>820</v>
      </c>
      <c r="D81" s="7" t="s">
        <v>509</v>
      </c>
      <c r="E81" s="7" t="s">
        <v>510</v>
      </c>
      <c r="F81" s="7" t="s">
        <v>752</v>
      </c>
      <c r="G81" s="7" t="s">
        <v>753</v>
      </c>
      <c r="H81" s="7"/>
      <c r="I81" s="7"/>
      <c r="J81" s="7"/>
      <c r="K81" s="7"/>
      <c r="L81" s="7"/>
      <c r="M81" s="7" t="s">
        <v>819</v>
      </c>
      <c r="N81" s="7" t="s">
        <v>821</v>
      </c>
      <c r="O81" s="8" t="s">
        <v>822</v>
      </c>
    </row>
    <row r="82" customFormat="false" ht="23.85" hidden="false" customHeight="false" outlineLevel="0" collapsed="false">
      <c r="A82" s="7" t="s">
        <v>34</v>
      </c>
      <c r="B82" s="8" t="s">
        <v>823</v>
      </c>
      <c r="C82" s="7" t="s">
        <v>824</v>
      </c>
      <c r="D82" s="7" t="s">
        <v>437</v>
      </c>
      <c r="E82" s="7" t="s">
        <v>429</v>
      </c>
      <c r="F82" s="7" t="s">
        <v>752</v>
      </c>
      <c r="G82" s="7" t="s">
        <v>753</v>
      </c>
      <c r="H82" s="7"/>
      <c r="I82" s="7"/>
      <c r="J82" s="7"/>
      <c r="K82" s="7"/>
      <c r="L82" s="7"/>
      <c r="M82" s="7" t="s">
        <v>823</v>
      </c>
      <c r="N82" s="7" t="s">
        <v>825</v>
      </c>
      <c r="O82" s="8" t="s">
        <v>826</v>
      </c>
    </row>
    <row r="83" customFormat="false" ht="22.35" hidden="false" customHeight="false" outlineLevel="0" collapsed="false">
      <c r="A83" s="7" t="s">
        <v>34</v>
      </c>
      <c r="B83" s="8" t="s">
        <v>827</v>
      </c>
      <c r="C83" s="7" t="s">
        <v>828</v>
      </c>
      <c r="D83" s="7" t="s">
        <v>509</v>
      </c>
      <c r="E83" s="7" t="s">
        <v>510</v>
      </c>
      <c r="F83" s="7" t="s">
        <v>752</v>
      </c>
      <c r="G83" s="7" t="s">
        <v>753</v>
      </c>
      <c r="H83" s="7"/>
      <c r="I83" s="7"/>
      <c r="J83" s="7"/>
      <c r="K83" s="7"/>
      <c r="L83" s="7"/>
      <c r="M83" s="7" t="s">
        <v>827</v>
      </c>
      <c r="N83" s="7" t="s">
        <v>829</v>
      </c>
      <c r="O83" s="8" t="s">
        <v>830</v>
      </c>
    </row>
    <row r="84" customFormat="false" ht="23.85" hidden="false" customHeight="false" outlineLevel="0" collapsed="false">
      <c r="A84" s="7" t="s">
        <v>34</v>
      </c>
      <c r="B84" s="8" t="s">
        <v>831</v>
      </c>
      <c r="C84" s="7" t="s">
        <v>832</v>
      </c>
      <c r="D84" s="7" t="s">
        <v>437</v>
      </c>
      <c r="E84" s="7" t="s">
        <v>429</v>
      </c>
      <c r="F84" s="7" t="s">
        <v>752</v>
      </c>
      <c r="G84" s="7" t="s">
        <v>753</v>
      </c>
      <c r="H84" s="7"/>
      <c r="I84" s="7"/>
      <c r="J84" s="7"/>
      <c r="K84" s="7"/>
      <c r="L84" s="7"/>
      <c r="M84" s="7" t="s">
        <v>831</v>
      </c>
      <c r="N84" s="7" t="s">
        <v>833</v>
      </c>
      <c r="O84" s="8" t="s">
        <v>834</v>
      </c>
    </row>
    <row r="85" customFormat="false" ht="22.35" hidden="false" customHeight="false" outlineLevel="0" collapsed="false">
      <c r="A85" s="7" t="s">
        <v>34</v>
      </c>
      <c r="B85" s="8" t="s">
        <v>835</v>
      </c>
      <c r="C85" s="7" t="s">
        <v>836</v>
      </c>
      <c r="D85" s="7" t="s">
        <v>622</v>
      </c>
      <c r="E85" s="7" t="s">
        <v>510</v>
      </c>
      <c r="F85" s="7" t="s">
        <v>752</v>
      </c>
      <c r="G85" s="7" t="s">
        <v>753</v>
      </c>
      <c r="H85" s="7"/>
      <c r="I85" s="7"/>
      <c r="J85" s="7"/>
      <c r="K85" s="7"/>
      <c r="L85" s="7"/>
      <c r="M85" s="7" t="s">
        <v>835</v>
      </c>
      <c r="N85" s="7" t="s">
        <v>837</v>
      </c>
      <c r="O85" s="8" t="s">
        <v>838</v>
      </c>
    </row>
    <row r="86" customFormat="false" ht="23.85" hidden="false" customHeight="false" outlineLevel="0" collapsed="false">
      <c r="A86" s="5" t="s">
        <v>34</v>
      </c>
      <c r="B86" s="6" t="s">
        <v>839</v>
      </c>
      <c r="C86" s="5" t="s">
        <v>840</v>
      </c>
      <c r="D86" s="5" t="s">
        <v>437</v>
      </c>
      <c r="E86" s="5" t="s">
        <v>429</v>
      </c>
      <c r="F86" s="5" t="s">
        <v>841</v>
      </c>
      <c r="G86" s="5" t="s">
        <v>431</v>
      </c>
      <c r="H86" s="5"/>
      <c r="I86" s="5"/>
      <c r="J86" s="5"/>
      <c r="K86" s="5" t="s">
        <v>842</v>
      </c>
      <c r="L86" s="5"/>
      <c r="M86" s="5" t="s">
        <v>843</v>
      </c>
      <c r="N86" s="5" t="s">
        <v>844</v>
      </c>
      <c r="O86" s="6" t="s">
        <v>845</v>
      </c>
    </row>
    <row r="87" customFormat="false" ht="15" hidden="false" customHeight="false" outlineLevel="0" collapsed="false">
      <c r="A87" s="5" t="s">
        <v>34</v>
      </c>
      <c r="B87" s="6" t="s">
        <v>422</v>
      </c>
      <c r="C87" s="5" t="s">
        <v>846</v>
      </c>
      <c r="D87" s="5" t="s">
        <v>437</v>
      </c>
      <c r="E87" s="5" t="s">
        <v>429</v>
      </c>
      <c r="F87" s="5" t="s">
        <v>841</v>
      </c>
      <c r="G87" s="5" t="s">
        <v>431</v>
      </c>
      <c r="H87" s="5"/>
      <c r="I87" s="5"/>
      <c r="J87" s="5"/>
      <c r="K87" s="5" t="s">
        <v>847</v>
      </c>
      <c r="L87" s="5"/>
      <c r="M87" s="5" t="s">
        <v>848</v>
      </c>
      <c r="N87" s="5" t="s">
        <v>849</v>
      </c>
      <c r="O87" s="6" t="s">
        <v>850</v>
      </c>
    </row>
    <row r="88" customFormat="false" ht="22.35" hidden="false" customHeight="false" outlineLevel="0" collapsed="false">
      <c r="A88" s="5" t="s">
        <v>34</v>
      </c>
      <c r="B88" s="6" t="s">
        <v>851</v>
      </c>
      <c r="C88" s="5" t="s">
        <v>852</v>
      </c>
      <c r="D88" s="5" t="s">
        <v>437</v>
      </c>
      <c r="E88" s="5" t="s">
        <v>429</v>
      </c>
      <c r="F88" s="5" t="s">
        <v>841</v>
      </c>
      <c r="G88" s="5" t="s">
        <v>431</v>
      </c>
      <c r="H88" s="5"/>
      <c r="I88" s="5"/>
      <c r="J88" s="5"/>
      <c r="K88" s="5" t="s">
        <v>853</v>
      </c>
      <c r="L88" s="5"/>
      <c r="M88" s="5" t="s">
        <v>854</v>
      </c>
      <c r="N88" s="5" t="s">
        <v>855</v>
      </c>
      <c r="O88" s="6" t="s">
        <v>856</v>
      </c>
    </row>
    <row r="89" customFormat="false" ht="23.85" hidden="false" customHeight="false" outlineLevel="0" collapsed="false">
      <c r="A89" s="7" t="s">
        <v>34</v>
      </c>
      <c r="B89" s="8" t="s">
        <v>857</v>
      </c>
      <c r="C89" s="7" t="s">
        <v>858</v>
      </c>
      <c r="D89" s="7" t="s">
        <v>509</v>
      </c>
      <c r="E89" s="7" t="s">
        <v>429</v>
      </c>
      <c r="F89" s="7" t="s">
        <v>859</v>
      </c>
      <c r="G89" s="7" t="s">
        <v>860</v>
      </c>
      <c r="H89" s="7"/>
      <c r="I89" s="7"/>
      <c r="J89" s="7"/>
      <c r="K89" s="7"/>
      <c r="L89" s="7"/>
      <c r="M89" s="7" t="s">
        <v>861</v>
      </c>
      <c r="N89" s="7" t="s">
        <v>862</v>
      </c>
      <c r="O89" s="8" t="s">
        <v>863</v>
      </c>
    </row>
    <row r="90" customFormat="false" ht="23.85" hidden="false" customHeight="false" outlineLevel="0" collapsed="false">
      <c r="A90" s="7" t="s">
        <v>34</v>
      </c>
      <c r="B90" s="8" t="s">
        <v>864</v>
      </c>
      <c r="C90" s="7" t="s">
        <v>865</v>
      </c>
      <c r="D90" s="7" t="s">
        <v>509</v>
      </c>
      <c r="E90" s="7" t="s">
        <v>429</v>
      </c>
      <c r="F90" s="7" t="s">
        <v>859</v>
      </c>
      <c r="G90" s="7" t="s">
        <v>860</v>
      </c>
      <c r="H90" s="7"/>
      <c r="I90" s="7"/>
      <c r="J90" s="7"/>
      <c r="K90" s="7"/>
      <c r="L90" s="7"/>
      <c r="M90" s="7" t="s">
        <v>861</v>
      </c>
      <c r="N90" s="7" t="s">
        <v>866</v>
      </c>
      <c r="O90" s="8" t="s">
        <v>867</v>
      </c>
    </row>
    <row r="91" customFormat="false" ht="23.85" hidden="false" customHeight="false" outlineLevel="0" collapsed="false">
      <c r="A91" s="7" t="s">
        <v>34</v>
      </c>
      <c r="B91" s="8" t="s">
        <v>868</v>
      </c>
      <c r="C91" s="7" t="s">
        <v>869</v>
      </c>
      <c r="D91" s="7" t="s">
        <v>437</v>
      </c>
      <c r="E91" s="7" t="s">
        <v>429</v>
      </c>
      <c r="F91" s="7" t="s">
        <v>859</v>
      </c>
      <c r="G91" s="7" t="s">
        <v>860</v>
      </c>
      <c r="H91" s="7"/>
      <c r="I91" s="7"/>
      <c r="J91" s="7"/>
      <c r="K91" s="7"/>
      <c r="L91" s="7"/>
      <c r="M91" s="7" t="s">
        <v>861</v>
      </c>
      <c r="N91" s="7" t="s">
        <v>870</v>
      </c>
      <c r="O91" s="8" t="s">
        <v>871</v>
      </c>
    </row>
    <row r="92" customFormat="false" ht="23.85" hidden="false" customHeight="false" outlineLevel="0" collapsed="false">
      <c r="A92" s="7" t="s">
        <v>34</v>
      </c>
      <c r="B92" s="8" t="s">
        <v>872</v>
      </c>
      <c r="C92" s="7" t="s">
        <v>873</v>
      </c>
      <c r="D92" s="7" t="s">
        <v>509</v>
      </c>
      <c r="E92" s="7" t="s">
        <v>429</v>
      </c>
      <c r="F92" s="7" t="s">
        <v>859</v>
      </c>
      <c r="G92" s="7" t="s">
        <v>860</v>
      </c>
      <c r="H92" s="7"/>
      <c r="I92" s="7"/>
      <c r="J92" s="7"/>
      <c r="K92" s="7"/>
      <c r="L92" s="7"/>
      <c r="M92" s="7" t="s">
        <v>861</v>
      </c>
      <c r="N92" s="7" t="s">
        <v>874</v>
      </c>
      <c r="O92" s="8" t="s">
        <v>875</v>
      </c>
    </row>
    <row r="93" customFormat="false" ht="23.85" hidden="false" customHeight="false" outlineLevel="0" collapsed="false">
      <c r="A93" s="7" t="s">
        <v>34</v>
      </c>
      <c r="B93" s="8" t="s">
        <v>876</v>
      </c>
      <c r="C93" s="7" t="s">
        <v>877</v>
      </c>
      <c r="D93" s="7" t="s">
        <v>509</v>
      </c>
      <c r="E93" s="7" t="s">
        <v>429</v>
      </c>
      <c r="F93" s="7" t="s">
        <v>859</v>
      </c>
      <c r="G93" s="7" t="s">
        <v>860</v>
      </c>
      <c r="H93" s="7"/>
      <c r="I93" s="7"/>
      <c r="J93" s="7"/>
      <c r="K93" s="7"/>
      <c r="L93" s="7"/>
      <c r="M93" s="7" t="s">
        <v>861</v>
      </c>
      <c r="N93" s="7" t="s">
        <v>878</v>
      </c>
      <c r="O93" s="8" t="s">
        <v>879</v>
      </c>
    </row>
    <row r="94" customFormat="false" ht="23.85" hidden="false" customHeight="false" outlineLevel="0" collapsed="false">
      <c r="A94" s="7" t="s">
        <v>34</v>
      </c>
      <c r="B94" s="8" t="s">
        <v>880</v>
      </c>
      <c r="C94" s="7" t="s">
        <v>881</v>
      </c>
      <c r="D94" s="7" t="s">
        <v>437</v>
      </c>
      <c r="E94" s="7" t="s">
        <v>429</v>
      </c>
      <c r="F94" s="7" t="s">
        <v>859</v>
      </c>
      <c r="G94" s="7" t="s">
        <v>860</v>
      </c>
      <c r="H94" s="7"/>
      <c r="I94" s="7"/>
      <c r="J94" s="7"/>
      <c r="K94" s="7"/>
      <c r="L94" s="7"/>
      <c r="M94" s="7" t="s">
        <v>861</v>
      </c>
      <c r="N94" s="7" t="s">
        <v>882</v>
      </c>
      <c r="O94" s="8" t="s">
        <v>883</v>
      </c>
    </row>
    <row r="95" customFormat="false" ht="23.85" hidden="false" customHeight="false" outlineLevel="0" collapsed="false">
      <c r="A95" s="7" t="s">
        <v>34</v>
      </c>
      <c r="B95" s="8" t="s">
        <v>884</v>
      </c>
      <c r="C95" s="7" t="s">
        <v>885</v>
      </c>
      <c r="D95" s="7" t="s">
        <v>509</v>
      </c>
      <c r="E95" s="7" t="s">
        <v>429</v>
      </c>
      <c r="F95" s="7" t="s">
        <v>859</v>
      </c>
      <c r="G95" s="7" t="s">
        <v>860</v>
      </c>
      <c r="H95" s="7"/>
      <c r="I95" s="7"/>
      <c r="J95" s="7"/>
      <c r="K95" s="7"/>
      <c r="L95" s="7"/>
      <c r="M95" s="7" t="s">
        <v>861</v>
      </c>
      <c r="N95" s="7" t="s">
        <v>886</v>
      </c>
      <c r="O95" s="8" t="s">
        <v>887</v>
      </c>
    </row>
    <row r="96" customFormat="false" ht="23.85" hidden="false" customHeight="false" outlineLevel="0" collapsed="false">
      <c r="A96" s="7" t="s">
        <v>34</v>
      </c>
      <c r="B96" s="8" t="s">
        <v>888</v>
      </c>
      <c r="C96" s="7" t="s">
        <v>889</v>
      </c>
      <c r="D96" s="7" t="s">
        <v>509</v>
      </c>
      <c r="E96" s="7" t="s">
        <v>429</v>
      </c>
      <c r="F96" s="7" t="s">
        <v>859</v>
      </c>
      <c r="G96" s="7" t="s">
        <v>860</v>
      </c>
      <c r="H96" s="7"/>
      <c r="I96" s="7"/>
      <c r="J96" s="7"/>
      <c r="K96" s="7"/>
      <c r="L96" s="7"/>
      <c r="M96" s="7" t="s">
        <v>861</v>
      </c>
      <c r="N96" s="7" t="s">
        <v>890</v>
      </c>
      <c r="O96" s="8" t="s">
        <v>891</v>
      </c>
    </row>
    <row r="97" customFormat="false" ht="23.85" hidden="false" customHeight="false" outlineLevel="0" collapsed="false">
      <c r="A97" s="7" t="s">
        <v>34</v>
      </c>
      <c r="B97" s="8" t="s">
        <v>892</v>
      </c>
      <c r="C97" s="7" t="s">
        <v>893</v>
      </c>
      <c r="D97" s="7" t="s">
        <v>509</v>
      </c>
      <c r="E97" s="7" t="s">
        <v>429</v>
      </c>
      <c r="F97" s="7" t="s">
        <v>859</v>
      </c>
      <c r="G97" s="7" t="s">
        <v>860</v>
      </c>
      <c r="H97" s="7"/>
      <c r="I97" s="7"/>
      <c r="J97" s="7"/>
      <c r="K97" s="7"/>
      <c r="L97" s="7"/>
      <c r="M97" s="7" t="s">
        <v>861</v>
      </c>
      <c r="N97" s="7" t="s">
        <v>894</v>
      </c>
      <c r="O97" s="8" t="s">
        <v>895</v>
      </c>
    </row>
    <row r="98" customFormat="false" ht="23.85" hidden="false" customHeight="false" outlineLevel="0" collapsed="false">
      <c r="A98" s="7" t="s">
        <v>34</v>
      </c>
      <c r="B98" s="8" t="s">
        <v>896</v>
      </c>
      <c r="C98" s="7" t="s">
        <v>897</v>
      </c>
      <c r="D98" s="7" t="s">
        <v>509</v>
      </c>
      <c r="E98" s="7" t="s">
        <v>429</v>
      </c>
      <c r="F98" s="7" t="s">
        <v>859</v>
      </c>
      <c r="G98" s="7" t="s">
        <v>860</v>
      </c>
      <c r="H98" s="7"/>
      <c r="I98" s="7"/>
      <c r="J98" s="7"/>
      <c r="K98" s="7"/>
      <c r="L98" s="7"/>
      <c r="M98" s="7" t="s">
        <v>861</v>
      </c>
      <c r="N98" s="7" t="s">
        <v>898</v>
      </c>
      <c r="O98" s="8" t="s">
        <v>899</v>
      </c>
    </row>
    <row r="99" customFormat="false" ht="23.85" hidden="false" customHeight="false" outlineLevel="0" collapsed="false">
      <c r="A99" s="7" t="s">
        <v>34</v>
      </c>
      <c r="B99" s="8" t="s">
        <v>900</v>
      </c>
      <c r="C99" s="7" t="s">
        <v>901</v>
      </c>
      <c r="D99" s="7" t="s">
        <v>509</v>
      </c>
      <c r="E99" s="7" t="s">
        <v>429</v>
      </c>
      <c r="F99" s="7" t="s">
        <v>859</v>
      </c>
      <c r="G99" s="7" t="s">
        <v>860</v>
      </c>
      <c r="H99" s="7"/>
      <c r="I99" s="7"/>
      <c r="J99" s="7"/>
      <c r="K99" s="7"/>
      <c r="L99" s="7"/>
      <c r="M99" s="7" t="s">
        <v>861</v>
      </c>
      <c r="N99" s="7" t="s">
        <v>902</v>
      </c>
      <c r="O99" s="8" t="s">
        <v>903</v>
      </c>
    </row>
    <row r="100" customFormat="false" ht="23.85" hidden="false" customHeight="false" outlineLevel="0" collapsed="false">
      <c r="A100" s="7" t="s">
        <v>34</v>
      </c>
      <c r="B100" s="8" t="s">
        <v>904</v>
      </c>
      <c r="C100" s="7" t="s">
        <v>905</v>
      </c>
      <c r="D100" s="7" t="s">
        <v>509</v>
      </c>
      <c r="E100" s="7" t="s">
        <v>429</v>
      </c>
      <c r="F100" s="7" t="s">
        <v>859</v>
      </c>
      <c r="G100" s="7" t="s">
        <v>860</v>
      </c>
      <c r="H100" s="7"/>
      <c r="I100" s="7"/>
      <c r="J100" s="7"/>
      <c r="K100" s="7"/>
      <c r="L100" s="7"/>
      <c r="M100" s="7" t="s">
        <v>861</v>
      </c>
      <c r="N100" s="7" t="s">
        <v>906</v>
      </c>
      <c r="O100" s="8" t="s">
        <v>907</v>
      </c>
    </row>
    <row r="101" customFormat="false" ht="23.85" hidden="false" customHeight="false" outlineLevel="0" collapsed="false">
      <c r="A101" s="7" t="s">
        <v>34</v>
      </c>
      <c r="B101" s="8" t="s">
        <v>908</v>
      </c>
      <c r="C101" s="7" t="s">
        <v>909</v>
      </c>
      <c r="D101" s="7" t="s">
        <v>509</v>
      </c>
      <c r="E101" s="7" t="s">
        <v>429</v>
      </c>
      <c r="F101" s="7" t="s">
        <v>859</v>
      </c>
      <c r="G101" s="7" t="s">
        <v>860</v>
      </c>
      <c r="H101" s="7"/>
      <c r="I101" s="7"/>
      <c r="J101" s="7"/>
      <c r="K101" s="7"/>
      <c r="L101" s="7"/>
      <c r="M101" s="7" t="s">
        <v>861</v>
      </c>
      <c r="N101" s="7" t="s">
        <v>910</v>
      </c>
      <c r="O101" s="8" t="s">
        <v>911</v>
      </c>
    </row>
    <row r="102" customFormat="false" ht="23.85" hidden="false" customHeight="false" outlineLevel="0" collapsed="false">
      <c r="A102" s="7" t="s">
        <v>34</v>
      </c>
      <c r="B102" s="8" t="s">
        <v>912</v>
      </c>
      <c r="C102" s="7" t="s">
        <v>913</v>
      </c>
      <c r="D102" s="7" t="s">
        <v>509</v>
      </c>
      <c r="E102" s="7" t="s">
        <v>429</v>
      </c>
      <c r="F102" s="7" t="s">
        <v>859</v>
      </c>
      <c r="G102" s="7" t="s">
        <v>860</v>
      </c>
      <c r="H102" s="7"/>
      <c r="I102" s="7"/>
      <c r="J102" s="7"/>
      <c r="K102" s="7"/>
      <c r="L102" s="7"/>
      <c r="M102" s="7" t="s">
        <v>861</v>
      </c>
      <c r="N102" s="7" t="s">
        <v>914</v>
      </c>
      <c r="O102" s="8" t="s">
        <v>915</v>
      </c>
    </row>
    <row r="103" customFormat="false" ht="23.85" hidden="false" customHeight="false" outlineLevel="0" collapsed="false">
      <c r="A103" s="7" t="s">
        <v>34</v>
      </c>
      <c r="B103" s="8" t="s">
        <v>916</v>
      </c>
      <c r="C103" s="7" t="s">
        <v>917</v>
      </c>
      <c r="D103" s="7" t="s">
        <v>509</v>
      </c>
      <c r="E103" s="7" t="s">
        <v>429</v>
      </c>
      <c r="F103" s="7" t="s">
        <v>859</v>
      </c>
      <c r="G103" s="7" t="s">
        <v>860</v>
      </c>
      <c r="H103" s="7"/>
      <c r="I103" s="7"/>
      <c r="J103" s="7"/>
      <c r="K103" s="7"/>
      <c r="L103" s="7"/>
      <c r="M103" s="7" t="s">
        <v>861</v>
      </c>
      <c r="N103" s="7" t="s">
        <v>918</v>
      </c>
      <c r="O103" s="8" t="s">
        <v>919</v>
      </c>
    </row>
    <row r="104" customFormat="false" ht="23.85" hidden="false" customHeight="false" outlineLevel="0" collapsed="false">
      <c r="A104" s="7" t="s">
        <v>34</v>
      </c>
      <c r="B104" s="8" t="s">
        <v>920</v>
      </c>
      <c r="C104" s="7" t="s">
        <v>921</v>
      </c>
      <c r="D104" s="7" t="s">
        <v>509</v>
      </c>
      <c r="E104" s="7" t="s">
        <v>429</v>
      </c>
      <c r="F104" s="7" t="s">
        <v>859</v>
      </c>
      <c r="G104" s="7" t="s">
        <v>860</v>
      </c>
      <c r="H104" s="7"/>
      <c r="I104" s="7"/>
      <c r="J104" s="7"/>
      <c r="K104" s="7"/>
      <c r="L104" s="7"/>
      <c r="M104" s="7" t="s">
        <v>861</v>
      </c>
      <c r="N104" s="7" t="s">
        <v>922</v>
      </c>
      <c r="O104" s="8" t="s">
        <v>923</v>
      </c>
    </row>
    <row r="105" customFormat="false" ht="23.85" hidden="false" customHeight="false" outlineLevel="0" collapsed="false">
      <c r="A105" s="7" t="s">
        <v>34</v>
      </c>
      <c r="B105" s="8" t="s">
        <v>924</v>
      </c>
      <c r="C105" s="7" t="s">
        <v>925</v>
      </c>
      <c r="D105" s="7" t="s">
        <v>509</v>
      </c>
      <c r="E105" s="7" t="s">
        <v>429</v>
      </c>
      <c r="F105" s="7" t="s">
        <v>859</v>
      </c>
      <c r="G105" s="7" t="s">
        <v>860</v>
      </c>
      <c r="H105" s="7"/>
      <c r="I105" s="7"/>
      <c r="J105" s="7"/>
      <c r="K105" s="7"/>
      <c r="L105" s="7"/>
      <c r="M105" s="7" t="s">
        <v>861</v>
      </c>
      <c r="N105" s="7" t="s">
        <v>926</v>
      </c>
      <c r="O105" s="8" t="s">
        <v>927</v>
      </c>
    </row>
    <row r="106" customFormat="false" ht="32.8" hidden="false" customHeight="false" outlineLevel="0" collapsed="false">
      <c r="A106" s="7" t="s">
        <v>34</v>
      </c>
      <c r="B106" s="8" t="s">
        <v>928</v>
      </c>
      <c r="C106" s="7" t="s">
        <v>929</v>
      </c>
      <c r="D106" s="7" t="s">
        <v>509</v>
      </c>
      <c r="E106" s="7" t="s">
        <v>429</v>
      </c>
      <c r="F106" s="7" t="s">
        <v>859</v>
      </c>
      <c r="G106" s="7" t="s">
        <v>860</v>
      </c>
      <c r="H106" s="7"/>
      <c r="I106" s="7"/>
      <c r="J106" s="7"/>
      <c r="K106" s="7"/>
      <c r="L106" s="7"/>
      <c r="M106" s="7" t="s">
        <v>861</v>
      </c>
      <c r="N106" s="7" t="s">
        <v>930</v>
      </c>
      <c r="O106" s="8" t="s">
        <v>931</v>
      </c>
    </row>
    <row r="107" customFormat="false" ht="23.85" hidden="false" customHeight="false" outlineLevel="0" collapsed="false">
      <c r="A107" s="7" t="s">
        <v>34</v>
      </c>
      <c r="B107" s="8" t="s">
        <v>932</v>
      </c>
      <c r="C107" s="7" t="s">
        <v>933</v>
      </c>
      <c r="D107" s="7" t="s">
        <v>509</v>
      </c>
      <c r="E107" s="7" t="s">
        <v>429</v>
      </c>
      <c r="F107" s="7" t="s">
        <v>859</v>
      </c>
      <c r="G107" s="7" t="s">
        <v>860</v>
      </c>
      <c r="H107" s="7"/>
      <c r="I107" s="7"/>
      <c r="J107" s="7"/>
      <c r="K107" s="7"/>
      <c r="L107" s="7"/>
      <c r="M107" s="7" t="s">
        <v>861</v>
      </c>
      <c r="N107" s="7" t="s">
        <v>934</v>
      </c>
      <c r="O107" s="8" t="s">
        <v>935</v>
      </c>
    </row>
    <row r="108" customFormat="false" ht="32.8" hidden="false" customHeight="false" outlineLevel="0" collapsed="false">
      <c r="A108" s="7" t="s">
        <v>34</v>
      </c>
      <c r="B108" s="8" t="s">
        <v>936</v>
      </c>
      <c r="C108" s="7" t="s">
        <v>937</v>
      </c>
      <c r="D108" s="7" t="s">
        <v>509</v>
      </c>
      <c r="E108" s="7" t="s">
        <v>429</v>
      </c>
      <c r="F108" s="7" t="s">
        <v>859</v>
      </c>
      <c r="G108" s="7" t="s">
        <v>860</v>
      </c>
      <c r="H108" s="7"/>
      <c r="I108" s="7"/>
      <c r="J108" s="7"/>
      <c r="K108" s="7"/>
      <c r="L108" s="7"/>
      <c r="M108" s="7" t="s">
        <v>861</v>
      </c>
      <c r="N108" s="7" t="s">
        <v>938</v>
      </c>
      <c r="O108" s="8" t="s">
        <v>939</v>
      </c>
    </row>
    <row r="109" customFormat="false" ht="23.85" hidden="false" customHeight="false" outlineLevel="0" collapsed="false">
      <c r="A109" s="7" t="s">
        <v>34</v>
      </c>
      <c r="B109" s="8" t="s">
        <v>940</v>
      </c>
      <c r="C109" s="7" t="s">
        <v>941</v>
      </c>
      <c r="D109" s="7" t="s">
        <v>509</v>
      </c>
      <c r="E109" s="7" t="s">
        <v>429</v>
      </c>
      <c r="F109" s="7" t="s">
        <v>859</v>
      </c>
      <c r="G109" s="7" t="s">
        <v>860</v>
      </c>
      <c r="H109" s="7"/>
      <c r="I109" s="7"/>
      <c r="J109" s="7"/>
      <c r="K109" s="7"/>
      <c r="L109" s="7"/>
      <c r="M109" s="7" t="s">
        <v>861</v>
      </c>
      <c r="N109" s="7" t="s">
        <v>942</v>
      </c>
      <c r="O109" s="8" t="s">
        <v>943</v>
      </c>
    </row>
    <row r="110" customFormat="false" ht="23.85" hidden="false" customHeight="false" outlineLevel="0" collapsed="false">
      <c r="A110" s="7" t="s">
        <v>34</v>
      </c>
      <c r="B110" s="8" t="s">
        <v>944</v>
      </c>
      <c r="C110" s="7" t="s">
        <v>945</v>
      </c>
      <c r="D110" s="7" t="s">
        <v>509</v>
      </c>
      <c r="E110" s="7" t="s">
        <v>429</v>
      </c>
      <c r="F110" s="7" t="s">
        <v>859</v>
      </c>
      <c r="G110" s="7" t="s">
        <v>860</v>
      </c>
      <c r="H110" s="7"/>
      <c r="I110" s="7"/>
      <c r="J110" s="7"/>
      <c r="K110" s="7"/>
      <c r="L110" s="7"/>
      <c r="M110" s="7" t="s">
        <v>861</v>
      </c>
      <c r="N110" s="7" t="s">
        <v>946</v>
      </c>
      <c r="O110" s="8" t="s">
        <v>947</v>
      </c>
    </row>
    <row r="111" customFormat="false" ht="32.8" hidden="false" customHeight="false" outlineLevel="0" collapsed="false">
      <c r="A111" s="7" t="s">
        <v>34</v>
      </c>
      <c r="B111" s="8" t="s">
        <v>948</v>
      </c>
      <c r="C111" s="7" t="s">
        <v>949</v>
      </c>
      <c r="D111" s="7" t="s">
        <v>509</v>
      </c>
      <c r="E111" s="7" t="s">
        <v>429</v>
      </c>
      <c r="F111" s="7" t="s">
        <v>859</v>
      </c>
      <c r="G111" s="7" t="s">
        <v>860</v>
      </c>
      <c r="H111" s="7"/>
      <c r="I111" s="7"/>
      <c r="J111" s="7"/>
      <c r="K111" s="7"/>
      <c r="L111" s="7"/>
      <c r="M111" s="7" t="s">
        <v>861</v>
      </c>
      <c r="N111" s="7" t="s">
        <v>950</v>
      </c>
      <c r="O111" s="8" t="s">
        <v>951</v>
      </c>
    </row>
    <row r="112" customFormat="false" ht="23.85" hidden="false" customHeight="false" outlineLevel="0" collapsed="false">
      <c r="A112" s="7" t="s">
        <v>34</v>
      </c>
      <c r="B112" s="8" t="s">
        <v>952</v>
      </c>
      <c r="C112" s="7" t="s">
        <v>953</v>
      </c>
      <c r="D112" s="7" t="s">
        <v>509</v>
      </c>
      <c r="E112" s="7" t="s">
        <v>429</v>
      </c>
      <c r="F112" s="7" t="s">
        <v>859</v>
      </c>
      <c r="G112" s="7" t="s">
        <v>860</v>
      </c>
      <c r="H112" s="7"/>
      <c r="I112" s="7"/>
      <c r="J112" s="7"/>
      <c r="K112" s="7"/>
      <c r="L112" s="7"/>
      <c r="M112" s="7" t="s">
        <v>861</v>
      </c>
      <c r="N112" s="7" t="s">
        <v>954</v>
      </c>
      <c r="O112" s="8" t="s">
        <v>955</v>
      </c>
    </row>
    <row r="113" customFormat="false" ht="32.8" hidden="false" customHeight="false" outlineLevel="0" collapsed="false">
      <c r="A113" s="7" t="s">
        <v>34</v>
      </c>
      <c r="B113" s="8" t="s">
        <v>956</v>
      </c>
      <c r="C113" s="7" t="s">
        <v>957</v>
      </c>
      <c r="D113" s="7" t="s">
        <v>509</v>
      </c>
      <c r="E113" s="7" t="s">
        <v>429</v>
      </c>
      <c r="F113" s="7" t="s">
        <v>859</v>
      </c>
      <c r="G113" s="7" t="s">
        <v>860</v>
      </c>
      <c r="H113" s="7"/>
      <c r="I113" s="7"/>
      <c r="J113" s="7"/>
      <c r="K113" s="7"/>
      <c r="L113" s="7"/>
      <c r="M113" s="7" t="s">
        <v>861</v>
      </c>
      <c r="N113" s="7" t="s">
        <v>958</v>
      </c>
      <c r="O113" s="8" t="s">
        <v>959</v>
      </c>
    </row>
    <row r="114" customFormat="false" ht="23.85" hidden="false" customHeight="false" outlineLevel="0" collapsed="false">
      <c r="A114" s="7" t="s">
        <v>34</v>
      </c>
      <c r="B114" s="8" t="s">
        <v>960</v>
      </c>
      <c r="C114" s="7" t="s">
        <v>961</v>
      </c>
      <c r="D114" s="7" t="s">
        <v>509</v>
      </c>
      <c r="E114" s="7" t="s">
        <v>429</v>
      </c>
      <c r="F114" s="7" t="s">
        <v>859</v>
      </c>
      <c r="G114" s="7" t="s">
        <v>860</v>
      </c>
      <c r="H114" s="7"/>
      <c r="I114" s="7"/>
      <c r="J114" s="7"/>
      <c r="K114" s="7"/>
      <c r="L114" s="7"/>
      <c r="M114" s="7" t="s">
        <v>861</v>
      </c>
      <c r="N114" s="7" t="s">
        <v>962</v>
      </c>
      <c r="O114" s="8" t="s">
        <v>963</v>
      </c>
    </row>
    <row r="115" customFormat="false" ht="32.8" hidden="false" customHeight="false" outlineLevel="0" collapsed="false">
      <c r="A115" s="7" t="s">
        <v>34</v>
      </c>
      <c r="B115" s="8" t="s">
        <v>964</v>
      </c>
      <c r="C115" s="7" t="s">
        <v>965</v>
      </c>
      <c r="D115" s="7" t="s">
        <v>509</v>
      </c>
      <c r="E115" s="7" t="s">
        <v>429</v>
      </c>
      <c r="F115" s="7" t="s">
        <v>859</v>
      </c>
      <c r="G115" s="7" t="s">
        <v>860</v>
      </c>
      <c r="H115" s="7"/>
      <c r="I115" s="7"/>
      <c r="J115" s="7"/>
      <c r="K115" s="7"/>
      <c r="L115" s="7"/>
      <c r="M115" s="7" t="s">
        <v>861</v>
      </c>
      <c r="N115" s="7" t="s">
        <v>966</v>
      </c>
      <c r="O115" s="8" t="s">
        <v>967</v>
      </c>
    </row>
    <row r="116" customFormat="false" ht="35.05" hidden="false" customHeight="false" outlineLevel="0" collapsed="false">
      <c r="A116" s="9" t="s">
        <v>34</v>
      </c>
      <c r="B116" s="10" t="s">
        <v>968</v>
      </c>
      <c r="C116" s="9" t="s">
        <v>969</v>
      </c>
      <c r="D116" s="9" t="s">
        <v>509</v>
      </c>
      <c r="E116" s="9" t="s">
        <v>429</v>
      </c>
      <c r="F116" s="9" t="s">
        <v>859</v>
      </c>
      <c r="G116" s="9" t="s">
        <v>860</v>
      </c>
      <c r="H116" s="9"/>
      <c r="I116" s="9"/>
      <c r="J116" s="9" t="s">
        <v>970</v>
      </c>
      <c r="K116" s="9"/>
      <c r="L116" s="9"/>
      <c r="M116" s="9" t="s">
        <v>861</v>
      </c>
      <c r="N116" s="9" t="s">
        <v>971</v>
      </c>
      <c r="O116" s="10" t="s">
        <v>972</v>
      </c>
    </row>
    <row r="117" customFormat="false" ht="23.85" hidden="false" customHeight="false" outlineLevel="0" collapsed="false">
      <c r="A117" s="7" t="s">
        <v>34</v>
      </c>
      <c r="B117" s="8" t="s">
        <v>973</v>
      </c>
      <c r="C117" s="7" t="s">
        <v>974</v>
      </c>
      <c r="D117" s="7" t="s">
        <v>509</v>
      </c>
      <c r="E117" s="7" t="s">
        <v>429</v>
      </c>
      <c r="F117" s="7" t="s">
        <v>859</v>
      </c>
      <c r="G117" s="7" t="s">
        <v>860</v>
      </c>
      <c r="H117" s="7"/>
      <c r="I117" s="7"/>
      <c r="J117" s="7"/>
      <c r="K117" s="7"/>
      <c r="L117" s="7"/>
      <c r="M117" s="7" t="s">
        <v>861</v>
      </c>
      <c r="N117" s="7" t="s">
        <v>975</v>
      </c>
      <c r="O117" s="8" t="s">
        <v>976</v>
      </c>
    </row>
    <row r="118" customFormat="false" ht="32.8" hidden="false" customHeight="false" outlineLevel="0" collapsed="false">
      <c r="A118" s="7" t="s">
        <v>34</v>
      </c>
      <c r="B118" s="8" t="s">
        <v>977</v>
      </c>
      <c r="C118" s="7" t="s">
        <v>978</v>
      </c>
      <c r="D118" s="7" t="s">
        <v>509</v>
      </c>
      <c r="E118" s="7" t="s">
        <v>429</v>
      </c>
      <c r="F118" s="7" t="s">
        <v>859</v>
      </c>
      <c r="G118" s="7" t="s">
        <v>860</v>
      </c>
      <c r="H118" s="7"/>
      <c r="I118" s="7"/>
      <c r="J118" s="7"/>
      <c r="K118" s="7"/>
      <c r="L118" s="7"/>
      <c r="M118" s="7" t="s">
        <v>861</v>
      </c>
      <c r="N118" s="7" t="s">
        <v>979</v>
      </c>
      <c r="O118" s="8" t="s">
        <v>980</v>
      </c>
    </row>
    <row r="119" customFormat="false" ht="32.8" hidden="false" customHeight="false" outlineLevel="0" collapsed="false">
      <c r="A119" s="7" t="s">
        <v>34</v>
      </c>
      <c r="B119" s="8" t="s">
        <v>981</v>
      </c>
      <c r="C119" s="7" t="s">
        <v>982</v>
      </c>
      <c r="D119" s="7" t="s">
        <v>509</v>
      </c>
      <c r="E119" s="7" t="s">
        <v>429</v>
      </c>
      <c r="F119" s="7" t="s">
        <v>859</v>
      </c>
      <c r="G119" s="7" t="s">
        <v>860</v>
      </c>
      <c r="H119" s="7"/>
      <c r="I119" s="7"/>
      <c r="J119" s="7"/>
      <c r="K119" s="7"/>
      <c r="L119" s="7"/>
      <c r="M119" s="7" t="s">
        <v>861</v>
      </c>
      <c r="N119" s="7" t="s">
        <v>983</v>
      </c>
      <c r="O119" s="8" t="s">
        <v>984</v>
      </c>
    </row>
    <row r="120" customFormat="false" ht="23.85" hidden="false" customHeight="false" outlineLevel="0" collapsed="false">
      <c r="A120" s="7" t="s">
        <v>34</v>
      </c>
      <c r="B120" s="8" t="s">
        <v>985</v>
      </c>
      <c r="C120" s="7" t="s">
        <v>986</v>
      </c>
      <c r="D120" s="7" t="s">
        <v>509</v>
      </c>
      <c r="E120" s="7" t="s">
        <v>429</v>
      </c>
      <c r="F120" s="7" t="s">
        <v>859</v>
      </c>
      <c r="G120" s="7" t="s">
        <v>860</v>
      </c>
      <c r="H120" s="7"/>
      <c r="I120" s="7"/>
      <c r="J120" s="7"/>
      <c r="K120" s="7"/>
      <c r="L120" s="7"/>
      <c r="M120" s="7" t="s">
        <v>861</v>
      </c>
      <c r="N120" s="7" t="s">
        <v>987</v>
      </c>
      <c r="O120" s="8" t="s">
        <v>988</v>
      </c>
    </row>
    <row r="121" customFormat="false" ht="23.85" hidden="false" customHeight="false" outlineLevel="0" collapsed="false">
      <c r="A121" s="7" t="s">
        <v>34</v>
      </c>
      <c r="B121" s="8" t="s">
        <v>989</v>
      </c>
      <c r="C121" s="7" t="s">
        <v>990</v>
      </c>
      <c r="D121" s="7" t="s">
        <v>509</v>
      </c>
      <c r="E121" s="7" t="s">
        <v>429</v>
      </c>
      <c r="F121" s="7" t="s">
        <v>859</v>
      </c>
      <c r="G121" s="7" t="s">
        <v>860</v>
      </c>
      <c r="H121" s="7"/>
      <c r="I121" s="7"/>
      <c r="J121" s="7"/>
      <c r="K121" s="7"/>
      <c r="L121" s="7"/>
      <c r="M121" s="7" t="s">
        <v>861</v>
      </c>
      <c r="N121" s="7" t="s">
        <v>991</v>
      </c>
      <c r="O121" s="8" t="s">
        <v>992</v>
      </c>
    </row>
    <row r="122" customFormat="false" ht="23.85" hidden="false" customHeight="false" outlineLevel="0" collapsed="false">
      <c r="A122" s="7" t="s">
        <v>34</v>
      </c>
      <c r="B122" s="8" t="s">
        <v>993</v>
      </c>
      <c r="C122" s="7" t="s">
        <v>994</v>
      </c>
      <c r="D122" s="7" t="s">
        <v>509</v>
      </c>
      <c r="E122" s="7" t="s">
        <v>429</v>
      </c>
      <c r="F122" s="7" t="s">
        <v>859</v>
      </c>
      <c r="G122" s="7" t="s">
        <v>860</v>
      </c>
      <c r="H122" s="7"/>
      <c r="I122" s="7"/>
      <c r="J122" s="7"/>
      <c r="K122" s="7"/>
      <c r="L122" s="7"/>
      <c r="M122" s="7" t="s">
        <v>861</v>
      </c>
      <c r="N122" s="7" t="s">
        <v>995</v>
      </c>
      <c r="O122" s="8" t="s">
        <v>996</v>
      </c>
    </row>
    <row r="123" customFormat="false" ht="23.85" hidden="false" customHeight="false" outlineLevel="0" collapsed="false">
      <c r="A123" s="7" t="s">
        <v>34</v>
      </c>
      <c r="B123" s="8" t="s">
        <v>997</v>
      </c>
      <c r="C123" s="7" t="s">
        <v>998</v>
      </c>
      <c r="D123" s="7" t="s">
        <v>509</v>
      </c>
      <c r="E123" s="7" t="s">
        <v>429</v>
      </c>
      <c r="F123" s="7" t="s">
        <v>859</v>
      </c>
      <c r="G123" s="7" t="s">
        <v>860</v>
      </c>
      <c r="H123" s="7"/>
      <c r="I123" s="7"/>
      <c r="J123" s="7"/>
      <c r="K123" s="7"/>
      <c r="L123" s="7"/>
      <c r="M123" s="7" t="s">
        <v>861</v>
      </c>
      <c r="N123" s="7" t="s">
        <v>999</v>
      </c>
      <c r="O123" s="8" t="s">
        <v>1000</v>
      </c>
    </row>
    <row r="124" customFormat="false" ht="23.85" hidden="false" customHeight="false" outlineLevel="0" collapsed="false">
      <c r="A124" s="7" t="s">
        <v>34</v>
      </c>
      <c r="B124" s="8" t="s">
        <v>1001</v>
      </c>
      <c r="C124" s="7" t="s">
        <v>1002</v>
      </c>
      <c r="D124" s="7" t="s">
        <v>509</v>
      </c>
      <c r="E124" s="7" t="s">
        <v>429</v>
      </c>
      <c r="F124" s="7" t="s">
        <v>859</v>
      </c>
      <c r="G124" s="7" t="s">
        <v>860</v>
      </c>
      <c r="H124" s="7"/>
      <c r="I124" s="7"/>
      <c r="J124" s="7"/>
      <c r="K124" s="7"/>
      <c r="L124" s="7"/>
      <c r="M124" s="7" t="s">
        <v>861</v>
      </c>
      <c r="N124" s="7" t="s">
        <v>1003</v>
      </c>
      <c r="O124" s="8" t="s">
        <v>1004</v>
      </c>
    </row>
    <row r="125" customFormat="false" ht="23.85" hidden="false" customHeight="false" outlineLevel="0" collapsed="false">
      <c r="A125" s="7" t="s">
        <v>34</v>
      </c>
      <c r="B125" s="8" t="s">
        <v>1005</v>
      </c>
      <c r="C125" s="7" t="s">
        <v>1006</v>
      </c>
      <c r="D125" s="7" t="s">
        <v>509</v>
      </c>
      <c r="E125" s="7" t="s">
        <v>429</v>
      </c>
      <c r="F125" s="7" t="s">
        <v>859</v>
      </c>
      <c r="G125" s="7" t="s">
        <v>860</v>
      </c>
      <c r="H125" s="7"/>
      <c r="I125" s="7"/>
      <c r="J125" s="7"/>
      <c r="K125" s="7"/>
      <c r="L125" s="7"/>
      <c r="M125" s="7" t="s">
        <v>861</v>
      </c>
      <c r="N125" s="7" t="s">
        <v>1007</v>
      </c>
      <c r="O125" s="8" t="s">
        <v>1008</v>
      </c>
    </row>
    <row r="126" customFormat="false" ht="23.85" hidden="false" customHeight="false" outlineLevel="0" collapsed="false">
      <c r="A126" s="7" t="s">
        <v>34</v>
      </c>
      <c r="B126" s="8" t="s">
        <v>1009</v>
      </c>
      <c r="C126" s="7" t="s">
        <v>1010</v>
      </c>
      <c r="D126" s="7" t="s">
        <v>509</v>
      </c>
      <c r="E126" s="7" t="s">
        <v>429</v>
      </c>
      <c r="F126" s="7" t="s">
        <v>859</v>
      </c>
      <c r="G126" s="7" t="s">
        <v>860</v>
      </c>
      <c r="H126" s="7"/>
      <c r="I126" s="7"/>
      <c r="J126" s="7"/>
      <c r="K126" s="7"/>
      <c r="L126" s="7"/>
      <c r="M126" s="7" t="s">
        <v>861</v>
      </c>
      <c r="N126" s="7" t="s">
        <v>1011</v>
      </c>
      <c r="O126" s="8" t="s">
        <v>1012</v>
      </c>
    </row>
    <row r="127" customFormat="false" ht="23.85" hidden="false" customHeight="false" outlineLevel="0" collapsed="false">
      <c r="A127" s="7" t="s">
        <v>34</v>
      </c>
      <c r="B127" s="8" t="s">
        <v>1013</v>
      </c>
      <c r="C127" s="7" t="s">
        <v>1014</v>
      </c>
      <c r="D127" s="7" t="s">
        <v>509</v>
      </c>
      <c r="E127" s="7" t="s">
        <v>429</v>
      </c>
      <c r="F127" s="7" t="s">
        <v>859</v>
      </c>
      <c r="G127" s="7" t="s">
        <v>860</v>
      </c>
      <c r="H127" s="7"/>
      <c r="I127" s="7"/>
      <c r="J127" s="7"/>
      <c r="K127" s="7"/>
      <c r="L127" s="7"/>
      <c r="M127" s="7" t="s">
        <v>861</v>
      </c>
      <c r="N127" s="7" t="s">
        <v>1015</v>
      </c>
      <c r="O127" s="8" t="s">
        <v>1016</v>
      </c>
    </row>
    <row r="128" customFormat="false" ht="23.85" hidden="false" customHeight="false" outlineLevel="0" collapsed="false">
      <c r="A128" s="7" t="s">
        <v>34</v>
      </c>
      <c r="B128" s="8" t="s">
        <v>1017</v>
      </c>
      <c r="C128" s="7" t="s">
        <v>1018</v>
      </c>
      <c r="D128" s="7" t="s">
        <v>509</v>
      </c>
      <c r="E128" s="7" t="s">
        <v>429</v>
      </c>
      <c r="F128" s="7" t="s">
        <v>859</v>
      </c>
      <c r="G128" s="7" t="s">
        <v>860</v>
      </c>
      <c r="H128" s="7"/>
      <c r="I128" s="7"/>
      <c r="J128" s="7"/>
      <c r="K128" s="7"/>
      <c r="L128" s="7"/>
      <c r="M128" s="7" t="s">
        <v>861</v>
      </c>
      <c r="N128" s="7" t="s">
        <v>1019</v>
      </c>
      <c r="O128" s="8" t="s">
        <v>1020</v>
      </c>
    </row>
    <row r="129" customFormat="false" ht="32.8" hidden="false" customHeight="false" outlineLevel="0" collapsed="false">
      <c r="A129" s="7" t="s">
        <v>34</v>
      </c>
      <c r="B129" s="8" t="s">
        <v>1021</v>
      </c>
      <c r="C129" s="7" t="s">
        <v>1022</v>
      </c>
      <c r="D129" s="7" t="s">
        <v>509</v>
      </c>
      <c r="E129" s="7" t="s">
        <v>429</v>
      </c>
      <c r="F129" s="7" t="s">
        <v>859</v>
      </c>
      <c r="G129" s="7" t="s">
        <v>860</v>
      </c>
      <c r="H129" s="7"/>
      <c r="I129" s="7"/>
      <c r="J129" s="7"/>
      <c r="K129" s="7"/>
      <c r="L129" s="7"/>
      <c r="M129" s="7" t="s">
        <v>861</v>
      </c>
      <c r="N129" s="7" t="s">
        <v>1023</v>
      </c>
      <c r="O129" s="8" t="s">
        <v>1024</v>
      </c>
    </row>
    <row r="130" customFormat="false" ht="23.85" hidden="false" customHeight="false" outlineLevel="0" collapsed="false">
      <c r="A130" s="7" t="s">
        <v>34</v>
      </c>
      <c r="B130" s="8" t="s">
        <v>1025</v>
      </c>
      <c r="C130" s="7" t="s">
        <v>1026</v>
      </c>
      <c r="D130" s="7" t="s">
        <v>509</v>
      </c>
      <c r="E130" s="7" t="s">
        <v>429</v>
      </c>
      <c r="F130" s="7" t="s">
        <v>859</v>
      </c>
      <c r="G130" s="7" t="s">
        <v>860</v>
      </c>
      <c r="H130" s="7"/>
      <c r="I130" s="7"/>
      <c r="J130" s="7"/>
      <c r="K130" s="7"/>
      <c r="L130" s="7"/>
      <c r="M130" s="7" t="s">
        <v>861</v>
      </c>
      <c r="N130" s="7" t="s">
        <v>1027</v>
      </c>
      <c r="O130" s="8" t="s">
        <v>1028</v>
      </c>
    </row>
    <row r="131" customFormat="false" ht="32.8" hidden="false" customHeight="false" outlineLevel="0" collapsed="false">
      <c r="A131" s="7" t="s">
        <v>34</v>
      </c>
      <c r="B131" s="8" t="s">
        <v>1029</v>
      </c>
      <c r="C131" s="7" t="s">
        <v>1030</v>
      </c>
      <c r="D131" s="7" t="s">
        <v>509</v>
      </c>
      <c r="E131" s="7" t="s">
        <v>429</v>
      </c>
      <c r="F131" s="7" t="s">
        <v>859</v>
      </c>
      <c r="G131" s="7" t="s">
        <v>860</v>
      </c>
      <c r="H131" s="7"/>
      <c r="I131" s="7"/>
      <c r="J131" s="7"/>
      <c r="K131" s="7"/>
      <c r="L131" s="7"/>
      <c r="M131" s="7" t="s">
        <v>861</v>
      </c>
      <c r="N131" s="7" t="s">
        <v>1031</v>
      </c>
      <c r="O131" s="8" t="s">
        <v>1032</v>
      </c>
    </row>
    <row r="132" customFormat="false" ht="23.85" hidden="false" customHeight="false" outlineLevel="0" collapsed="false">
      <c r="A132" s="7" t="s">
        <v>34</v>
      </c>
      <c r="B132" s="8" t="s">
        <v>1033</v>
      </c>
      <c r="C132" s="7" t="s">
        <v>1034</v>
      </c>
      <c r="D132" s="7" t="s">
        <v>509</v>
      </c>
      <c r="E132" s="7" t="s">
        <v>429</v>
      </c>
      <c r="F132" s="7" t="s">
        <v>859</v>
      </c>
      <c r="G132" s="7" t="s">
        <v>860</v>
      </c>
      <c r="H132" s="7"/>
      <c r="I132" s="7"/>
      <c r="J132" s="7"/>
      <c r="K132" s="7"/>
      <c r="L132" s="7"/>
      <c r="M132" s="7" t="s">
        <v>861</v>
      </c>
      <c r="N132" s="7" t="s">
        <v>1035</v>
      </c>
      <c r="O132" s="8" t="s">
        <v>1036</v>
      </c>
    </row>
    <row r="133" customFormat="false" ht="23.85" hidden="false" customHeight="false" outlineLevel="0" collapsed="false">
      <c r="A133" s="7" t="s">
        <v>34</v>
      </c>
      <c r="B133" s="8" t="s">
        <v>1037</v>
      </c>
      <c r="C133" s="7" t="s">
        <v>1038</v>
      </c>
      <c r="D133" s="7" t="s">
        <v>509</v>
      </c>
      <c r="E133" s="7" t="s">
        <v>429</v>
      </c>
      <c r="F133" s="7" t="s">
        <v>859</v>
      </c>
      <c r="G133" s="7" t="s">
        <v>860</v>
      </c>
      <c r="H133" s="7"/>
      <c r="I133" s="7"/>
      <c r="J133" s="7"/>
      <c r="K133" s="7"/>
      <c r="L133" s="7"/>
      <c r="M133" s="7" t="s">
        <v>861</v>
      </c>
      <c r="N133" s="7" t="s">
        <v>1039</v>
      </c>
      <c r="O133" s="8" t="s">
        <v>1040</v>
      </c>
    </row>
    <row r="134" customFormat="false" ht="23.85" hidden="false" customHeight="false" outlineLevel="0" collapsed="false">
      <c r="A134" s="7" t="s">
        <v>34</v>
      </c>
      <c r="B134" s="8" t="s">
        <v>1041</v>
      </c>
      <c r="C134" s="7" t="s">
        <v>1042</v>
      </c>
      <c r="D134" s="7" t="s">
        <v>509</v>
      </c>
      <c r="E134" s="7" t="s">
        <v>429</v>
      </c>
      <c r="F134" s="7" t="s">
        <v>859</v>
      </c>
      <c r="G134" s="7" t="s">
        <v>860</v>
      </c>
      <c r="H134" s="7"/>
      <c r="I134" s="7"/>
      <c r="J134" s="7"/>
      <c r="K134" s="7"/>
      <c r="L134" s="7"/>
      <c r="M134" s="7" t="s">
        <v>861</v>
      </c>
      <c r="N134" s="7" t="s">
        <v>1043</v>
      </c>
      <c r="O134" s="8" t="s">
        <v>1044</v>
      </c>
    </row>
    <row r="135" customFormat="false" ht="23.85" hidden="false" customHeight="false" outlineLevel="0" collapsed="false">
      <c r="A135" s="7" t="s">
        <v>34</v>
      </c>
      <c r="B135" s="8" t="s">
        <v>1045</v>
      </c>
      <c r="C135" s="7" t="s">
        <v>1046</v>
      </c>
      <c r="D135" s="7" t="s">
        <v>509</v>
      </c>
      <c r="E135" s="7" t="s">
        <v>429</v>
      </c>
      <c r="F135" s="7" t="s">
        <v>859</v>
      </c>
      <c r="G135" s="7" t="s">
        <v>860</v>
      </c>
      <c r="H135" s="7"/>
      <c r="I135" s="7"/>
      <c r="J135" s="7"/>
      <c r="K135" s="7"/>
      <c r="L135" s="7"/>
      <c r="M135" s="7" t="s">
        <v>861</v>
      </c>
      <c r="N135" s="7" t="s">
        <v>1047</v>
      </c>
      <c r="O135" s="8" t="s">
        <v>1048</v>
      </c>
    </row>
    <row r="136" customFormat="false" ht="32.8" hidden="false" customHeight="false" outlineLevel="0" collapsed="false">
      <c r="A136" s="7" t="s">
        <v>34</v>
      </c>
      <c r="B136" s="8" t="s">
        <v>1049</v>
      </c>
      <c r="C136" s="7" t="s">
        <v>1050</v>
      </c>
      <c r="D136" s="7" t="s">
        <v>509</v>
      </c>
      <c r="E136" s="7" t="s">
        <v>429</v>
      </c>
      <c r="F136" s="7" t="s">
        <v>859</v>
      </c>
      <c r="G136" s="7" t="s">
        <v>860</v>
      </c>
      <c r="H136" s="7"/>
      <c r="I136" s="7"/>
      <c r="J136" s="7"/>
      <c r="K136" s="7"/>
      <c r="L136" s="7"/>
      <c r="M136" s="7" t="s">
        <v>861</v>
      </c>
      <c r="N136" s="7" t="s">
        <v>1051</v>
      </c>
      <c r="O136" s="8" t="s">
        <v>1052</v>
      </c>
    </row>
    <row r="137" customFormat="false" ht="23.85" hidden="false" customHeight="false" outlineLevel="0" collapsed="false">
      <c r="A137" s="7" t="s">
        <v>34</v>
      </c>
      <c r="B137" s="8" t="s">
        <v>1053</v>
      </c>
      <c r="C137" s="7" t="s">
        <v>1054</v>
      </c>
      <c r="D137" s="7" t="s">
        <v>509</v>
      </c>
      <c r="E137" s="7" t="s">
        <v>429</v>
      </c>
      <c r="F137" s="7" t="s">
        <v>859</v>
      </c>
      <c r="G137" s="7" t="s">
        <v>860</v>
      </c>
      <c r="H137" s="7"/>
      <c r="I137" s="7"/>
      <c r="J137" s="7"/>
      <c r="K137" s="7"/>
      <c r="L137" s="7"/>
      <c r="M137" s="7" t="s">
        <v>861</v>
      </c>
      <c r="N137" s="7" t="s">
        <v>1055</v>
      </c>
      <c r="O137" s="8" t="s">
        <v>1056</v>
      </c>
    </row>
    <row r="138" customFormat="false" ht="32.8" hidden="false" customHeight="false" outlineLevel="0" collapsed="false">
      <c r="A138" s="7" t="s">
        <v>34</v>
      </c>
      <c r="B138" s="8" t="s">
        <v>1057</v>
      </c>
      <c r="C138" s="7" t="s">
        <v>1058</v>
      </c>
      <c r="D138" s="7" t="s">
        <v>509</v>
      </c>
      <c r="E138" s="7" t="s">
        <v>429</v>
      </c>
      <c r="F138" s="7" t="s">
        <v>859</v>
      </c>
      <c r="G138" s="7" t="s">
        <v>860</v>
      </c>
      <c r="H138" s="7"/>
      <c r="I138" s="7"/>
      <c r="J138" s="7"/>
      <c r="K138" s="7"/>
      <c r="L138" s="7"/>
      <c r="M138" s="7" t="s">
        <v>861</v>
      </c>
      <c r="N138" s="7" t="s">
        <v>1059</v>
      </c>
      <c r="O138" s="8" t="s">
        <v>1060</v>
      </c>
    </row>
    <row r="139" customFormat="false" ht="23.85" hidden="false" customHeight="false" outlineLevel="0" collapsed="false">
      <c r="A139" s="7" t="s">
        <v>34</v>
      </c>
      <c r="B139" s="8" t="s">
        <v>1061</v>
      </c>
      <c r="C139" s="7" t="s">
        <v>1062</v>
      </c>
      <c r="D139" s="7" t="s">
        <v>509</v>
      </c>
      <c r="E139" s="7" t="s">
        <v>429</v>
      </c>
      <c r="F139" s="7" t="s">
        <v>859</v>
      </c>
      <c r="G139" s="7" t="s">
        <v>860</v>
      </c>
      <c r="H139" s="7"/>
      <c r="I139" s="7"/>
      <c r="J139" s="7"/>
      <c r="K139" s="7"/>
      <c r="L139" s="7"/>
      <c r="M139" s="7" t="s">
        <v>861</v>
      </c>
      <c r="N139" s="7" t="s">
        <v>1063</v>
      </c>
      <c r="O139" s="8" t="s">
        <v>1064</v>
      </c>
    </row>
    <row r="140" customFormat="false" ht="32.8" hidden="false" customHeight="false" outlineLevel="0" collapsed="false">
      <c r="A140" s="7" t="s">
        <v>34</v>
      </c>
      <c r="B140" s="8" t="s">
        <v>1065</v>
      </c>
      <c r="C140" s="7" t="s">
        <v>1066</v>
      </c>
      <c r="D140" s="7" t="s">
        <v>509</v>
      </c>
      <c r="E140" s="7" t="s">
        <v>429</v>
      </c>
      <c r="F140" s="7" t="s">
        <v>859</v>
      </c>
      <c r="G140" s="7" t="s">
        <v>860</v>
      </c>
      <c r="H140" s="7"/>
      <c r="I140" s="7"/>
      <c r="J140" s="7"/>
      <c r="K140" s="7"/>
      <c r="L140" s="7"/>
      <c r="M140" s="7" t="s">
        <v>861</v>
      </c>
      <c r="N140" s="7" t="s">
        <v>1067</v>
      </c>
      <c r="O140" s="8" t="s">
        <v>1068</v>
      </c>
    </row>
    <row r="141" customFormat="false" ht="23.85" hidden="false" customHeight="false" outlineLevel="0" collapsed="false">
      <c r="A141" s="7" t="s">
        <v>34</v>
      </c>
      <c r="B141" s="8" t="s">
        <v>1069</v>
      </c>
      <c r="C141" s="7" t="s">
        <v>1070</v>
      </c>
      <c r="D141" s="7" t="s">
        <v>509</v>
      </c>
      <c r="E141" s="7" t="s">
        <v>429</v>
      </c>
      <c r="F141" s="7" t="s">
        <v>859</v>
      </c>
      <c r="G141" s="7" t="s">
        <v>860</v>
      </c>
      <c r="H141" s="7"/>
      <c r="I141" s="7"/>
      <c r="J141" s="7"/>
      <c r="K141" s="7"/>
      <c r="L141" s="7"/>
      <c r="M141" s="7" t="s">
        <v>861</v>
      </c>
      <c r="N141" s="7" t="s">
        <v>1071</v>
      </c>
      <c r="O141" s="8" t="s">
        <v>1072</v>
      </c>
    </row>
    <row r="142" customFormat="false" ht="32.8" hidden="false" customHeight="false" outlineLevel="0" collapsed="false">
      <c r="A142" s="7" t="s">
        <v>34</v>
      </c>
      <c r="B142" s="8" t="s">
        <v>1073</v>
      </c>
      <c r="C142" s="7" t="s">
        <v>1074</v>
      </c>
      <c r="D142" s="7" t="s">
        <v>509</v>
      </c>
      <c r="E142" s="7" t="s">
        <v>429</v>
      </c>
      <c r="F142" s="7" t="s">
        <v>859</v>
      </c>
      <c r="G142" s="7" t="s">
        <v>860</v>
      </c>
      <c r="H142" s="7"/>
      <c r="I142" s="7"/>
      <c r="J142" s="7"/>
      <c r="K142" s="7"/>
      <c r="L142" s="7"/>
      <c r="M142" s="7" t="s">
        <v>861</v>
      </c>
      <c r="N142" s="7" t="s">
        <v>1075</v>
      </c>
      <c r="O142" s="8" t="s">
        <v>1076</v>
      </c>
    </row>
    <row r="143" customFormat="false" ht="23.85" hidden="false" customHeight="false" outlineLevel="0" collapsed="false">
      <c r="A143" s="7" t="s">
        <v>34</v>
      </c>
      <c r="B143" s="8" t="s">
        <v>1077</v>
      </c>
      <c r="C143" s="7" t="s">
        <v>1078</v>
      </c>
      <c r="D143" s="7" t="s">
        <v>509</v>
      </c>
      <c r="E143" s="7" t="s">
        <v>429</v>
      </c>
      <c r="F143" s="7" t="s">
        <v>859</v>
      </c>
      <c r="G143" s="7" t="s">
        <v>860</v>
      </c>
      <c r="H143" s="7"/>
      <c r="I143" s="7"/>
      <c r="J143" s="7"/>
      <c r="K143" s="7"/>
      <c r="L143" s="7"/>
      <c r="M143" s="7" t="s">
        <v>861</v>
      </c>
      <c r="N143" s="7" t="s">
        <v>1079</v>
      </c>
      <c r="O143" s="8" t="s">
        <v>1080</v>
      </c>
    </row>
    <row r="144" customFormat="false" ht="23.85" hidden="false" customHeight="false" outlineLevel="0" collapsed="false">
      <c r="A144" s="7" t="s">
        <v>34</v>
      </c>
      <c r="B144" s="8" t="s">
        <v>1081</v>
      </c>
      <c r="C144" s="7" t="s">
        <v>1082</v>
      </c>
      <c r="D144" s="7" t="s">
        <v>509</v>
      </c>
      <c r="E144" s="7" t="s">
        <v>429</v>
      </c>
      <c r="F144" s="7" t="s">
        <v>859</v>
      </c>
      <c r="G144" s="7" t="s">
        <v>860</v>
      </c>
      <c r="H144" s="7"/>
      <c r="I144" s="7"/>
      <c r="J144" s="7"/>
      <c r="K144" s="7"/>
      <c r="L144" s="7"/>
      <c r="M144" s="7" t="s">
        <v>861</v>
      </c>
      <c r="N144" s="7" t="s">
        <v>1083</v>
      </c>
      <c r="O144" s="8" t="s">
        <v>1084</v>
      </c>
    </row>
    <row r="145" customFormat="false" ht="23.85" hidden="false" customHeight="false" outlineLevel="0" collapsed="false">
      <c r="A145" s="7" t="s">
        <v>34</v>
      </c>
      <c r="B145" s="8" t="s">
        <v>1085</v>
      </c>
      <c r="C145" s="7" t="s">
        <v>1086</v>
      </c>
      <c r="D145" s="7" t="s">
        <v>509</v>
      </c>
      <c r="E145" s="7" t="s">
        <v>429</v>
      </c>
      <c r="F145" s="7" t="s">
        <v>859</v>
      </c>
      <c r="G145" s="7" t="s">
        <v>860</v>
      </c>
      <c r="H145" s="7"/>
      <c r="I145" s="7"/>
      <c r="J145" s="7"/>
      <c r="K145" s="7"/>
      <c r="L145" s="7"/>
      <c r="M145" s="7" t="s">
        <v>861</v>
      </c>
      <c r="N145" s="7" t="s">
        <v>1087</v>
      </c>
      <c r="O145" s="8" t="s">
        <v>1088</v>
      </c>
    </row>
    <row r="146" customFormat="false" ht="23.85" hidden="false" customHeight="false" outlineLevel="0" collapsed="false">
      <c r="A146" s="7" t="s">
        <v>34</v>
      </c>
      <c r="B146" s="8" t="s">
        <v>1089</v>
      </c>
      <c r="C146" s="7" t="s">
        <v>1090</v>
      </c>
      <c r="D146" s="7" t="s">
        <v>509</v>
      </c>
      <c r="E146" s="7" t="s">
        <v>429</v>
      </c>
      <c r="F146" s="7" t="s">
        <v>859</v>
      </c>
      <c r="G146" s="7" t="s">
        <v>860</v>
      </c>
      <c r="H146" s="7"/>
      <c r="I146" s="7"/>
      <c r="J146" s="7"/>
      <c r="K146" s="7"/>
      <c r="L146" s="7"/>
      <c r="M146" s="7" t="s">
        <v>861</v>
      </c>
      <c r="N146" s="7" t="s">
        <v>1091</v>
      </c>
      <c r="O146" s="8" t="s">
        <v>1092</v>
      </c>
    </row>
    <row r="147" customFormat="false" ht="23.85" hidden="false" customHeight="false" outlineLevel="0" collapsed="false">
      <c r="A147" s="7" t="s">
        <v>34</v>
      </c>
      <c r="B147" s="8" t="s">
        <v>1093</v>
      </c>
      <c r="C147" s="7" t="s">
        <v>1094</v>
      </c>
      <c r="D147" s="7" t="s">
        <v>509</v>
      </c>
      <c r="E147" s="7" t="s">
        <v>429</v>
      </c>
      <c r="F147" s="7" t="s">
        <v>859</v>
      </c>
      <c r="G147" s="7" t="s">
        <v>860</v>
      </c>
      <c r="H147" s="7"/>
      <c r="I147" s="7"/>
      <c r="J147" s="7"/>
      <c r="K147" s="7"/>
      <c r="L147" s="7"/>
      <c r="M147" s="7" t="s">
        <v>861</v>
      </c>
      <c r="N147" s="7" t="s">
        <v>1095</v>
      </c>
      <c r="O147" s="8" t="s">
        <v>1096</v>
      </c>
    </row>
    <row r="148" customFormat="false" ht="23.85" hidden="false" customHeight="false" outlineLevel="0" collapsed="false">
      <c r="A148" s="7" t="s">
        <v>34</v>
      </c>
      <c r="B148" s="8" t="s">
        <v>1097</v>
      </c>
      <c r="C148" s="7" t="s">
        <v>1098</v>
      </c>
      <c r="D148" s="7" t="s">
        <v>509</v>
      </c>
      <c r="E148" s="7" t="s">
        <v>429</v>
      </c>
      <c r="F148" s="7" t="s">
        <v>859</v>
      </c>
      <c r="G148" s="7" t="s">
        <v>860</v>
      </c>
      <c r="H148" s="7"/>
      <c r="I148" s="7"/>
      <c r="J148" s="7"/>
      <c r="K148" s="7"/>
      <c r="L148" s="7"/>
      <c r="M148" s="7" t="s">
        <v>861</v>
      </c>
      <c r="N148" s="7" t="s">
        <v>1099</v>
      </c>
      <c r="O148" s="8" t="s">
        <v>1100</v>
      </c>
    </row>
    <row r="149" customFormat="false" ht="23.85" hidden="false" customHeight="false" outlineLevel="0" collapsed="false">
      <c r="A149" s="7" t="s">
        <v>34</v>
      </c>
      <c r="B149" s="8" t="s">
        <v>1101</v>
      </c>
      <c r="C149" s="7" t="s">
        <v>1102</v>
      </c>
      <c r="D149" s="7" t="s">
        <v>509</v>
      </c>
      <c r="E149" s="7" t="s">
        <v>429</v>
      </c>
      <c r="F149" s="7" t="s">
        <v>859</v>
      </c>
      <c r="G149" s="7" t="s">
        <v>860</v>
      </c>
      <c r="H149" s="7"/>
      <c r="I149" s="7"/>
      <c r="J149" s="7"/>
      <c r="K149" s="7"/>
      <c r="L149" s="7"/>
      <c r="M149" s="7" t="s">
        <v>861</v>
      </c>
      <c r="N149" s="7" t="s">
        <v>1103</v>
      </c>
      <c r="O149" s="8" t="s">
        <v>1104</v>
      </c>
    </row>
    <row r="150" customFormat="false" ht="23.85" hidden="false" customHeight="false" outlineLevel="0" collapsed="false">
      <c r="A150" s="7" t="s">
        <v>34</v>
      </c>
      <c r="B150" s="8" t="s">
        <v>1105</v>
      </c>
      <c r="C150" s="7" t="s">
        <v>1106</v>
      </c>
      <c r="D150" s="7" t="s">
        <v>509</v>
      </c>
      <c r="E150" s="7" t="s">
        <v>429</v>
      </c>
      <c r="F150" s="7" t="s">
        <v>859</v>
      </c>
      <c r="G150" s="7" t="s">
        <v>860</v>
      </c>
      <c r="H150" s="7"/>
      <c r="I150" s="7"/>
      <c r="J150" s="7"/>
      <c r="K150" s="7"/>
      <c r="L150" s="7"/>
      <c r="M150" s="7" t="s">
        <v>861</v>
      </c>
      <c r="N150" s="7" t="s">
        <v>1107</v>
      </c>
      <c r="O150" s="8" t="s">
        <v>1108</v>
      </c>
    </row>
    <row r="151" customFormat="false" ht="23.85" hidden="false" customHeight="false" outlineLevel="0" collapsed="false">
      <c r="A151" s="7" t="s">
        <v>34</v>
      </c>
      <c r="B151" s="8" t="s">
        <v>1109</v>
      </c>
      <c r="C151" s="7" t="s">
        <v>1110</v>
      </c>
      <c r="D151" s="7" t="s">
        <v>509</v>
      </c>
      <c r="E151" s="7" t="s">
        <v>429</v>
      </c>
      <c r="F151" s="7" t="s">
        <v>859</v>
      </c>
      <c r="G151" s="7" t="s">
        <v>860</v>
      </c>
      <c r="H151" s="7"/>
      <c r="I151" s="7"/>
      <c r="J151" s="7"/>
      <c r="K151" s="7"/>
      <c r="L151" s="7"/>
      <c r="M151" s="7" t="s">
        <v>861</v>
      </c>
      <c r="N151" s="7" t="s">
        <v>1111</v>
      </c>
      <c r="O151" s="8" t="s">
        <v>1112</v>
      </c>
    </row>
    <row r="152" customFormat="false" ht="23.85" hidden="false" customHeight="false" outlineLevel="0" collapsed="false">
      <c r="A152" s="7" t="s">
        <v>34</v>
      </c>
      <c r="B152" s="8" t="s">
        <v>1113</v>
      </c>
      <c r="C152" s="7" t="s">
        <v>1114</v>
      </c>
      <c r="D152" s="7" t="s">
        <v>509</v>
      </c>
      <c r="E152" s="7" t="s">
        <v>429</v>
      </c>
      <c r="F152" s="7" t="s">
        <v>859</v>
      </c>
      <c r="G152" s="7" t="s">
        <v>860</v>
      </c>
      <c r="H152" s="7"/>
      <c r="I152" s="7"/>
      <c r="J152" s="7"/>
      <c r="K152" s="7"/>
      <c r="L152" s="7"/>
      <c r="M152" s="7" t="s">
        <v>861</v>
      </c>
      <c r="N152" s="7" t="s">
        <v>1115</v>
      </c>
      <c r="O152" s="8" t="s">
        <v>1116</v>
      </c>
    </row>
    <row r="153" customFormat="false" ht="23.85" hidden="false" customHeight="false" outlineLevel="0" collapsed="false">
      <c r="A153" s="7" t="s">
        <v>34</v>
      </c>
      <c r="B153" s="8" t="s">
        <v>1117</v>
      </c>
      <c r="C153" s="7" t="s">
        <v>1118</v>
      </c>
      <c r="D153" s="7" t="s">
        <v>509</v>
      </c>
      <c r="E153" s="7" t="s">
        <v>429</v>
      </c>
      <c r="F153" s="7" t="s">
        <v>859</v>
      </c>
      <c r="G153" s="7" t="s">
        <v>860</v>
      </c>
      <c r="H153" s="7"/>
      <c r="I153" s="7"/>
      <c r="J153" s="7"/>
      <c r="K153" s="7"/>
      <c r="L153" s="7"/>
      <c r="M153" s="7" t="s">
        <v>861</v>
      </c>
      <c r="N153" s="7" t="s">
        <v>1119</v>
      </c>
      <c r="O153" s="8" t="s">
        <v>1120</v>
      </c>
    </row>
    <row r="154" customFormat="false" ht="23.85" hidden="false" customHeight="false" outlineLevel="0" collapsed="false">
      <c r="A154" s="7" t="s">
        <v>34</v>
      </c>
      <c r="B154" s="8" t="s">
        <v>1121</v>
      </c>
      <c r="C154" s="7" t="s">
        <v>1122</v>
      </c>
      <c r="D154" s="7" t="s">
        <v>509</v>
      </c>
      <c r="E154" s="7" t="s">
        <v>429</v>
      </c>
      <c r="F154" s="7" t="s">
        <v>859</v>
      </c>
      <c r="G154" s="7" t="s">
        <v>860</v>
      </c>
      <c r="H154" s="7"/>
      <c r="I154" s="7"/>
      <c r="J154" s="7"/>
      <c r="K154" s="7"/>
      <c r="L154" s="7"/>
      <c r="M154" s="7" t="s">
        <v>861</v>
      </c>
      <c r="N154" s="7" t="s">
        <v>1123</v>
      </c>
      <c r="O154" s="8" t="s">
        <v>1124</v>
      </c>
    </row>
    <row r="155" customFormat="false" ht="23.85" hidden="false" customHeight="false" outlineLevel="0" collapsed="false">
      <c r="A155" s="7" t="s">
        <v>34</v>
      </c>
      <c r="B155" s="8" t="s">
        <v>1125</v>
      </c>
      <c r="C155" s="7" t="s">
        <v>1126</v>
      </c>
      <c r="D155" s="7" t="s">
        <v>509</v>
      </c>
      <c r="E155" s="7" t="s">
        <v>429</v>
      </c>
      <c r="F155" s="7" t="s">
        <v>859</v>
      </c>
      <c r="G155" s="7" t="s">
        <v>860</v>
      </c>
      <c r="H155" s="7"/>
      <c r="I155" s="7"/>
      <c r="J155" s="7"/>
      <c r="K155" s="7"/>
      <c r="L155" s="7"/>
      <c r="M155" s="7" t="s">
        <v>861</v>
      </c>
      <c r="N155" s="7" t="s">
        <v>1127</v>
      </c>
      <c r="O155" s="8" t="s">
        <v>1128</v>
      </c>
    </row>
    <row r="156" customFormat="false" ht="23.85" hidden="false" customHeight="false" outlineLevel="0" collapsed="false">
      <c r="A156" s="7" t="s">
        <v>34</v>
      </c>
      <c r="B156" s="8" t="s">
        <v>1129</v>
      </c>
      <c r="C156" s="7" t="s">
        <v>1130</v>
      </c>
      <c r="D156" s="7" t="s">
        <v>509</v>
      </c>
      <c r="E156" s="7" t="s">
        <v>429</v>
      </c>
      <c r="F156" s="7" t="s">
        <v>859</v>
      </c>
      <c r="G156" s="7" t="s">
        <v>860</v>
      </c>
      <c r="H156" s="7"/>
      <c r="I156" s="7"/>
      <c r="J156" s="7"/>
      <c r="K156" s="7"/>
      <c r="L156" s="7"/>
      <c r="M156" s="7" t="s">
        <v>861</v>
      </c>
      <c r="N156" s="7" t="s">
        <v>1131</v>
      </c>
      <c r="O156" s="8" t="s">
        <v>1132</v>
      </c>
    </row>
    <row r="157" customFormat="false" ht="23.85" hidden="false" customHeight="false" outlineLevel="0" collapsed="false">
      <c r="A157" s="7" t="s">
        <v>34</v>
      </c>
      <c r="B157" s="8" t="s">
        <v>1133</v>
      </c>
      <c r="C157" s="7" t="s">
        <v>1134</v>
      </c>
      <c r="D157" s="7" t="s">
        <v>509</v>
      </c>
      <c r="E157" s="7" t="s">
        <v>429</v>
      </c>
      <c r="F157" s="7" t="s">
        <v>859</v>
      </c>
      <c r="G157" s="7" t="s">
        <v>860</v>
      </c>
      <c r="H157" s="7"/>
      <c r="I157" s="7"/>
      <c r="J157" s="7"/>
      <c r="K157" s="7"/>
      <c r="L157" s="7"/>
      <c r="M157" s="7" t="s">
        <v>861</v>
      </c>
      <c r="N157" s="7" t="s">
        <v>1135</v>
      </c>
      <c r="O157" s="8" t="s">
        <v>1136</v>
      </c>
    </row>
    <row r="158" customFormat="false" ht="23.85" hidden="false" customHeight="false" outlineLevel="0" collapsed="false">
      <c r="A158" s="7" t="s">
        <v>34</v>
      </c>
      <c r="B158" s="8" t="s">
        <v>1137</v>
      </c>
      <c r="C158" s="7" t="s">
        <v>1138</v>
      </c>
      <c r="D158" s="7" t="s">
        <v>509</v>
      </c>
      <c r="E158" s="7" t="s">
        <v>429</v>
      </c>
      <c r="F158" s="7" t="s">
        <v>859</v>
      </c>
      <c r="G158" s="7" t="s">
        <v>860</v>
      </c>
      <c r="H158" s="7"/>
      <c r="I158" s="7"/>
      <c r="J158" s="7"/>
      <c r="K158" s="7"/>
      <c r="L158" s="7"/>
      <c r="M158" s="7" t="s">
        <v>861</v>
      </c>
      <c r="N158" s="7" t="s">
        <v>1139</v>
      </c>
      <c r="O158" s="8" t="s">
        <v>1140</v>
      </c>
    </row>
    <row r="159" customFormat="false" ht="23.85" hidden="false" customHeight="false" outlineLevel="0" collapsed="false">
      <c r="A159" s="7" t="s">
        <v>34</v>
      </c>
      <c r="B159" s="8" t="s">
        <v>1141</v>
      </c>
      <c r="C159" s="7" t="s">
        <v>1142</v>
      </c>
      <c r="D159" s="7" t="s">
        <v>509</v>
      </c>
      <c r="E159" s="7" t="s">
        <v>429</v>
      </c>
      <c r="F159" s="7" t="s">
        <v>859</v>
      </c>
      <c r="G159" s="7" t="s">
        <v>860</v>
      </c>
      <c r="H159" s="7"/>
      <c r="I159" s="7"/>
      <c r="J159" s="7"/>
      <c r="K159" s="7"/>
      <c r="L159" s="7"/>
      <c r="M159" s="7" t="s">
        <v>861</v>
      </c>
      <c r="N159" s="7" t="s">
        <v>1143</v>
      </c>
      <c r="O159" s="8" t="s">
        <v>1144</v>
      </c>
    </row>
    <row r="160" customFormat="false" ht="32.8" hidden="false" customHeight="false" outlineLevel="0" collapsed="false">
      <c r="A160" s="7" t="s">
        <v>34</v>
      </c>
      <c r="B160" s="8" t="s">
        <v>1145</v>
      </c>
      <c r="C160" s="7" t="s">
        <v>1146</v>
      </c>
      <c r="D160" s="7" t="s">
        <v>509</v>
      </c>
      <c r="E160" s="7" t="s">
        <v>429</v>
      </c>
      <c r="F160" s="7" t="s">
        <v>859</v>
      </c>
      <c r="G160" s="7" t="s">
        <v>860</v>
      </c>
      <c r="H160" s="7"/>
      <c r="I160" s="7"/>
      <c r="J160" s="7"/>
      <c r="K160" s="7"/>
      <c r="L160" s="7"/>
      <c r="M160" s="7" t="s">
        <v>861</v>
      </c>
      <c r="N160" s="7" t="s">
        <v>1147</v>
      </c>
      <c r="O160" s="8" t="s">
        <v>1148</v>
      </c>
    </row>
    <row r="161" customFormat="false" ht="23.85" hidden="false" customHeight="false" outlineLevel="0" collapsed="false">
      <c r="A161" s="7" t="s">
        <v>34</v>
      </c>
      <c r="B161" s="8" t="s">
        <v>1149</v>
      </c>
      <c r="C161" s="7" t="s">
        <v>1150</v>
      </c>
      <c r="D161" s="7" t="s">
        <v>509</v>
      </c>
      <c r="E161" s="7" t="s">
        <v>429</v>
      </c>
      <c r="F161" s="7" t="s">
        <v>859</v>
      </c>
      <c r="G161" s="7" t="s">
        <v>860</v>
      </c>
      <c r="H161" s="7"/>
      <c r="I161" s="7"/>
      <c r="J161" s="7"/>
      <c r="K161" s="7"/>
      <c r="L161" s="7"/>
      <c r="M161" s="7" t="s">
        <v>861</v>
      </c>
      <c r="N161" s="7" t="s">
        <v>1151</v>
      </c>
      <c r="O161" s="8" t="s">
        <v>1152</v>
      </c>
    </row>
    <row r="162" customFormat="false" ht="32.8" hidden="false" customHeight="false" outlineLevel="0" collapsed="false">
      <c r="A162" s="7" t="s">
        <v>34</v>
      </c>
      <c r="B162" s="8" t="s">
        <v>1153</v>
      </c>
      <c r="C162" s="7" t="s">
        <v>1154</v>
      </c>
      <c r="D162" s="7" t="s">
        <v>509</v>
      </c>
      <c r="E162" s="7" t="s">
        <v>429</v>
      </c>
      <c r="F162" s="7" t="s">
        <v>859</v>
      </c>
      <c r="G162" s="7" t="s">
        <v>860</v>
      </c>
      <c r="H162" s="7"/>
      <c r="I162" s="7"/>
      <c r="J162" s="7"/>
      <c r="K162" s="7"/>
      <c r="L162" s="7"/>
      <c r="M162" s="7" t="s">
        <v>861</v>
      </c>
      <c r="N162" s="7" t="s">
        <v>1155</v>
      </c>
      <c r="O162" s="8" t="s">
        <v>1156</v>
      </c>
    </row>
    <row r="163" customFormat="false" ht="23.85" hidden="false" customHeight="false" outlineLevel="0" collapsed="false">
      <c r="A163" s="7" t="s">
        <v>34</v>
      </c>
      <c r="B163" s="8" t="s">
        <v>1157</v>
      </c>
      <c r="C163" s="7" t="s">
        <v>1158</v>
      </c>
      <c r="D163" s="7" t="s">
        <v>509</v>
      </c>
      <c r="E163" s="7" t="s">
        <v>429</v>
      </c>
      <c r="F163" s="7" t="s">
        <v>859</v>
      </c>
      <c r="G163" s="7" t="s">
        <v>860</v>
      </c>
      <c r="H163" s="7"/>
      <c r="I163" s="7"/>
      <c r="J163" s="7"/>
      <c r="K163" s="7"/>
      <c r="L163" s="7"/>
      <c r="M163" s="7" t="s">
        <v>861</v>
      </c>
      <c r="N163" s="7" t="s">
        <v>1159</v>
      </c>
      <c r="O163" s="8" t="s">
        <v>1160</v>
      </c>
    </row>
    <row r="164" customFormat="false" ht="23.85" hidden="false" customHeight="false" outlineLevel="0" collapsed="false">
      <c r="A164" s="7" t="s">
        <v>34</v>
      </c>
      <c r="B164" s="8" t="s">
        <v>1161</v>
      </c>
      <c r="C164" s="7" t="s">
        <v>1162</v>
      </c>
      <c r="D164" s="7" t="s">
        <v>509</v>
      </c>
      <c r="E164" s="7" t="s">
        <v>429</v>
      </c>
      <c r="F164" s="7" t="s">
        <v>859</v>
      </c>
      <c r="G164" s="7" t="s">
        <v>860</v>
      </c>
      <c r="H164" s="7"/>
      <c r="I164" s="7"/>
      <c r="J164" s="7"/>
      <c r="K164" s="7"/>
      <c r="L164" s="7"/>
      <c r="M164" s="7" t="s">
        <v>861</v>
      </c>
      <c r="N164" s="7" t="s">
        <v>1163</v>
      </c>
      <c r="O164" s="8" t="s">
        <v>1164</v>
      </c>
    </row>
    <row r="165" customFormat="false" ht="23.85" hidden="false" customHeight="false" outlineLevel="0" collapsed="false">
      <c r="A165" s="7" t="s">
        <v>34</v>
      </c>
      <c r="B165" s="8" t="s">
        <v>1165</v>
      </c>
      <c r="C165" s="7" t="s">
        <v>1166</v>
      </c>
      <c r="D165" s="7" t="s">
        <v>509</v>
      </c>
      <c r="E165" s="7" t="s">
        <v>429</v>
      </c>
      <c r="F165" s="7" t="s">
        <v>859</v>
      </c>
      <c r="G165" s="7" t="s">
        <v>860</v>
      </c>
      <c r="H165" s="7"/>
      <c r="I165" s="7"/>
      <c r="J165" s="7"/>
      <c r="K165" s="7"/>
      <c r="L165" s="7"/>
      <c r="M165" s="7" t="s">
        <v>861</v>
      </c>
      <c r="N165" s="7" t="s">
        <v>1167</v>
      </c>
      <c r="O165" s="8" t="s">
        <v>1168</v>
      </c>
    </row>
    <row r="166" customFormat="false" ht="23.85" hidden="false" customHeight="false" outlineLevel="0" collapsed="false">
      <c r="A166" s="7" t="s">
        <v>34</v>
      </c>
      <c r="B166" s="8" t="s">
        <v>1169</v>
      </c>
      <c r="C166" s="7" t="s">
        <v>1170</v>
      </c>
      <c r="D166" s="7" t="s">
        <v>509</v>
      </c>
      <c r="E166" s="7" t="s">
        <v>429</v>
      </c>
      <c r="F166" s="7" t="s">
        <v>859</v>
      </c>
      <c r="G166" s="7" t="s">
        <v>860</v>
      </c>
      <c r="H166" s="7"/>
      <c r="I166" s="7"/>
      <c r="J166" s="7"/>
      <c r="K166" s="7"/>
      <c r="L166" s="7"/>
      <c r="M166" s="7" t="s">
        <v>861</v>
      </c>
      <c r="N166" s="7" t="s">
        <v>1171</v>
      </c>
      <c r="O166" s="8" t="s">
        <v>1172</v>
      </c>
    </row>
    <row r="167" customFormat="false" ht="23.85" hidden="false" customHeight="false" outlineLevel="0" collapsed="false">
      <c r="A167" s="7" t="s">
        <v>34</v>
      </c>
      <c r="B167" s="8" t="s">
        <v>1173</v>
      </c>
      <c r="C167" s="7" t="s">
        <v>1174</v>
      </c>
      <c r="D167" s="7" t="s">
        <v>509</v>
      </c>
      <c r="E167" s="7" t="s">
        <v>429</v>
      </c>
      <c r="F167" s="7" t="s">
        <v>859</v>
      </c>
      <c r="G167" s="7" t="s">
        <v>860</v>
      </c>
      <c r="H167" s="7"/>
      <c r="I167" s="7"/>
      <c r="J167" s="7"/>
      <c r="K167" s="7"/>
      <c r="L167" s="7"/>
      <c r="M167" s="7" t="s">
        <v>861</v>
      </c>
      <c r="N167" s="7" t="s">
        <v>1175</v>
      </c>
      <c r="O167" s="8" t="s">
        <v>1176</v>
      </c>
    </row>
    <row r="168" customFormat="false" ht="23.85" hidden="false" customHeight="false" outlineLevel="0" collapsed="false">
      <c r="A168" s="7" t="s">
        <v>34</v>
      </c>
      <c r="B168" s="8" t="s">
        <v>1177</v>
      </c>
      <c r="C168" s="7" t="s">
        <v>1178</v>
      </c>
      <c r="D168" s="7" t="s">
        <v>509</v>
      </c>
      <c r="E168" s="7" t="s">
        <v>429</v>
      </c>
      <c r="F168" s="7" t="s">
        <v>859</v>
      </c>
      <c r="G168" s="7" t="s">
        <v>860</v>
      </c>
      <c r="H168" s="7"/>
      <c r="I168" s="7"/>
      <c r="J168" s="7"/>
      <c r="K168" s="7"/>
      <c r="L168" s="7"/>
      <c r="M168" s="7" t="s">
        <v>861</v>
      </c>
      <c r="N168" s="7" t="s">
        <v>1179</v>
      </c>
      <c r="O168" s="8" t="s">
        <v>1180</v>
      </c>
    </row>
    <row r="169" customFormat="false" ht="23.85" hidden="false" customHeight="false" outlineLevel="0" collapsed="false">
      <c r="A169" s="7" t="s">
        <v>34</v>
      </c>
      <c r="B169" s="8" t="s">
        <v>1181</v>
      </c>
      <c r="C169" s="7" t="s">
        <v>1182</v>
      </c>
      <c r="D169" s="7" t="s">
        <v>509</v>
      </c>
      <c r="E169" s="7" t="s">
        <v>429</v>
      </c>
      <c r="F169" s="7" t="s">
        <v>859</v>
      </c>
      <c r="G169" s="7" t="s">
        <v>860</v>
      </c>
      <c r="H169" s="7"/>
      <c r="I169" s="7"/>
      <c r="J169" s="7"/>
      <c r="K169" s="7"/>
      <c r="L169" s="7"/>
      <c r="M169" s="7" t="s">
        <v>861</v>
      </c>
      <c r="N169" s="7" t="s">
        <v>1183</v>
      </c>
      <c r="O169" s="8" t="s">
        <v>1184</v>
      </c>
    </row>
    <row r="170" customFormat="false" ht="23.85" hidden="false" customHeight="false" outlineLevel="0" collapsed="false">
      <c r="A170" s="7" t="s">
        <v>34</v>
      </c>
      <c r="B170" s="8" t="s">
        <v>1185</v>
      </c>
      <c r="C170" s="7" t="s">
        <v>1186</v>
      </c>
      <c r="D170" s="7" t="s">
        <v>509</v>
      </c>
      <c r="E170" s="7" t="s">
        <v>429</v>
      </c>
      <c r="F170" s="7" t="s">
        <v>859</v>
      </c>
      <c r="G170" s="7" t="s">
        <v>860</v>
      </c>
      <c r="H170" s="7"/>
      <c r="I170" s="7"/>
      <c r="J170" s="7"/>
      <c r="K170" s="7"/>
      <c r="L170" s="7"/>
      <c r="M170" s="7" t="s">
        <v>861</v>
      </c>
      <c r="N170" s="7" t="s">
        <v>1187</v>
      </c>
      <c r="O170" s="8" t="s">
        <v>1188</v>
      </c>
    </row>
    <row r="171" customFormat="false" ht="23.85" hidden="false" customHeight="false" outlineLevel="0" collapsed="false">
      <c r="A171" s="7" t="s">
        <v>34</v>
      </c>
      <c r="B171" s="8" t="s">
        <v>1189</v>
      </c>
      <c r="C171" s="7" t="s">
        <v>1190</v>
      </c>
      <c r="D171" s="7" t="s">
        <v>509</v>
      </c>
      <c r="E171" s="7" t="s">
        <v>429</v>
      </c>
      <c r="F171" s="7" t="s">
        <v>859</v>
      </c>
      <c r="G171" s="7" t="s">
        <v>860</v>
      </c>
      <c r="H171" s="7"/>
      <c r="I171" s="7"/>
      <c r="J171" s="7"/>
      <c r="K171" s="7"/>
      <c r="L171" s="7"/>
      <c r="M171" s="7" t="s">
        <v>861</v>
      </c>
      <c r="N171" s="7" t="s">
        <v>1191</v>
      </c>
      <c r="O171" s="8" t="s">
        <v>1192</v>
      </c>
    </row>
    <row r="172" customFormat="false" ht="23.85" hidden="false" customHeight="false" outlineLevel="0" collapsed="false">
      <c r="A172" s="7" t="s">
        <v>34</v>
      </c>
      <c r="B172" s="8" t="s">
        <v>1193</v>
      </c>
      <c r="C172" s="7" t="s">
        <v>1194</v>
      </c>
      <c r="D172" s="7" t="s">
        <v>509</v>
      </c>
      <c r="E172" s="7" t="s">
        <v>429</v>
      </c>
      <c r="F172" s="7" t="s">
        <v>859</v>
      </c>
      <c r="G172" s="7" t="s">
        <v>860</v>
      </c>
      <c r="H172" s="7"/>
      <c r="I172" s="7"/>
      <c r="J172" s="7"/>
      <c r="K172" s="7"/>
      <c r="L172" s="7"/>
      <c r="M172" s="7" t="s">
        <v>861</v>
      </c>
      <c r="N172" s="7" t="s">
        <v>1195</v>
      </c>
      <c r="O172" s="8" t="s">
        <v>1196</v>
      </c>
    </row>
    <row r="173" customFormat="false" ht="23.85" hidden="false" customHeight="false" outlineLevel="0" collapsed="false">
      <c r="A173" s="7" t="s">
        <v>34</v>
      </c>
      <c r="B173" s="8" t="s">
        <v>1197</v>
      </c>
      <c r="C173" s="7" t="s">
        <v>1198</v>
      </c>
      <c r="D173" s="7" t="s">
        <v>509</v>
      </c>
      <c r="E173" s="7" t="s">
        <v>429</v>
      </c>
      <c r="F173" s="7" t="s">
        <v>859</v>
      </c>
      <c r="G173" s="7" t="s">
        <v>860</v>
      </c>
      <c r="H173" s="7"/>
      <c r="I173" s="7"/>
      <c r="J173" s="7"/>
      <c r="K173" s="7"/>
      <c r="L173" s="7"/>
      <c r="M173" s="7" t="s">
        <v>861</v>
      </c>
      <c r="N173" s="7" t="s">
        <v>1199</v>
      </c>
      <c r="O173" s="8" t="s">
        <v>1200</v>
      </c>
    </row>
    <row r="174" customFormat="false" ht="23.85" hidden="false" customHeight="false" outlineLevel="0" collapsed="false">
      <c r="A174" s="7" t="s">
        <v>34</v>
      </c>
      <c r="B174" s="8" t="s">
        <v>1201</v>
      </c>
      <c r="C174" s="7" t="s">
        <v>1202</v>
      </c>
      <c r="D174" s="7" t="s">
        <v>509</v>
      </c>
      <c r="E174" s="7" t="s">
        <v>429</v>
      </c>
      <c r="F174" s="7" t="s">
        <v>859</v>
      </c>
      <c r="G174" s="7" t="s">
        <v>860</v>
      </c>
      <c r="H174" s="7"/>
      <c r="I174" s="7"/>
      <c r="J174" s="7"/>
      <c r="K174" s="7"/>
      <c r="L174" s="7"/>
      <c r="M174" s="7" t="s">
        <v>861</v>
      </c>
      <c r="N174" s="7" t="s">
        <v>1203</v>
      </c>
      <c r="O174" s="8" t="s">
        <v>1204</v>
      </c>
    </row>
    <row r="175" customFormat="false" ht="23.85" hidden="false" customHeight="false" outlineLevel="0" collapsed="false">
      <c r="A175" s="7" t="s">
        <v>34</v>
      </c>
      <c r="B175" s="8" t="s">
        <v>1205</v>
      </c>
      <c r="C175" s="7" t="s">
        <v>1206</v>
      </c>
      <c r="D175" s="7" t="s">
        <v>509</v>
      </c>
      <c r="E175" s="7" t="s">
        <v>429</v>
      </c>
      <c r="F175" s="7" t="s">
        <v>859</v>
      </c>
      <c r="G175" s="7" t="s">
        <v>860</v>
      </c>
      <c r="H175" s="7"/>
      <c r="I175" s="7"/>
      <c r="J175" s="7"/>
      <c r="K175" s="7"/>
      <c r="L175" s="7"/>
      <c r="M175" s="7" t="s">
        <v>861</v>
      </c>
      <c r="N175" s="7" t="s">
        <v>1207</v>
      </c>
      <c r="O175" s="8" t="s">
        <v>1208</v>
      </c>
    </row>
    <row r="176" customFormat="false" ht="23.85" hidden="false" customHeight="false" outlineLevel="0" collapsed="false">
      <c r="A176" s="7" t="s">
        <v>34</v>
      </c>
      <c r="B176" s="8" t="s">
        <v>1209</v>
      </c>
      <c r="C176" s="7" t="s">
        <v>1210</v>
      </c>
      <c r="D176" s="7" t="s">
        <v>509</v>
      </c>
      <c r="E176" s="7" t="s">
        <v>429</v>
      </c>
      <c r="F176" s="7" t="s">
        <v>859</v>
      </c>
      <c r="G176" s="7" t="s">
        <v>860</v>
      </c>
      <c r="H176" s="7"/>
      <c r="I176" s="7"/>
      <c r="J176" s="7"/>
      <c r="K176" s="7"/>
      <c r="L176" s="7"/>
      <c r="M176" s="7" t="s">
        <v>861</v>
      </c>
      <c r="N176" s="7" t="s">
        <v>1211</v>
      </c>
      <c r="O176" s="8" t="s">
        <v>1212</v>
      </c>
    </row>
    <row r="177" customFormat="false" ht="23.85" hidden="false" customHeight="false" outlineLevel="0" collapsed="false">
      <c r="A177" s="7" t="s">
        <v>34</v>
      </c>
      <c r="B177" s="8" t="s">
        <v>1213</v>
      </c>
      <c r="C177" s="7" t="s">
        <v>1214</v>
      </c>
      <c r="D177" s="7" t="s">
        <v>509</v>
      </c>
      <c r="E177" s="7" t="s">
        <v>429</v>
      </c>
      <c r="F177" s="7" t="s">
        <v>859</v>
      </c>
      <c r="G177" s="7" t="s">
        <v>860</v>
      </c>
      <c r="H177" s="7"/>
      <c r="I177" s="7"/>
      <c r="J177" s="7"/>
      <c r="K177" s="7"/>
      <c r="L177" s="7"/>
      <c r="M177" s="7" t="s">
        <v>861</v>
      </c>
      <c r="N177" s="7" t="s">
        <v>1215</v>
      </c>
      <c r="O177" s="8" t="s">
        <v>1216</v>
      </c>
    </row>
    <row r="178" customFormat="false" ht="23.85" hidden="false" customHeight="false" outlineLevel="0" collapsed="false">
      <c r="A178" s="7" t="s">
        <v>34</v>
      </c>
      <c r="B178" s="8" t="s">
        <v>1217</v>
      </c>
      <c r="C178" s="7" t="s">
        <v>1218</v>
      </c>
      <c r="D178" s="7" t="s">
        <v>509</v>
      </c>
      <c r="E178" s="7" t="s">
        <v>429</v>
      </c>
      <c r="F178" s="7" t="s">
        <v>859</v>
      </c>
      <c r="G178" s="7" t="s">
        <v>860</v>
      </c>
      <c r="H178" s="7"/>
      <c r="I178" s="7"/>
      <c r="J178" s="7"/>
      <c r="K178" s="7"/>
      <c r="L178" s="7"/>
      <c r="M178" s="7" t="s">
        <v>861</v>
      </c>
      <c r="N178" s="7" t="s">
        <v>1219</v>
      </c>
      <c r="O178" s="8" t="s">
        <v>1220</v>
      </c>
    </row>
    <row r="179" customFormat="false" ht="23.85" hidden="false" customHeight="false" outlineLevel="0" collapsed="false">
      <c r="A179" s="7" t="s">
        <v>34</v>
      </c>
      <c r="B179" s="8" t="s">
        <v>1221</v>
      </c>
      <c r="C179" s="7" t="s">
        <v>1222</v>
      </c>
      <c r="D179" s="7" t="s">
        <v>509</v>
      </c>
      <c r="E179" s="7" t="s">
        <v>429</v>
      </c>
      <c r="F179" s="7" t="s">
        <v>859</v>
      </c>
      <c r="G179" s="7" t="s">
        <v>860</v>
      </c>
      <c r="H179" s="7"/>
      <c r="I179" s="7"/>
      <c r="J179" s="7"/>
      <c r="K179" s="7"/>
      <c r="L179" s="7"/>
      <c r="M179" s="7" t="s">
        <v>861</v>
      </c>
      <c r="N179" s="7" t="s">
        <v>1223</v>
      </c>
      <c r="O179" s="8" t="s">
        <v>1224</v>
      </c>
    </row>
    <row r="180" customFormat="false" ht="23.85" hidden="false" customHeight="false" outlineLevel="0" collapsed="false">
      <c r="A180" s="7" t="s">
        <v>34</v>
      </c>
      <c r="B180" s="8" t="s">
        <v>1225</v>
      </c>
      <c r="C180" s="7" t="s">
        <v>1226</v>
      </c>
      <c r="D180" s="7" t="s">
        <v>509</v>
      </c>
      <c r="E180" s="7" t="s">
        <v>429</v>
      </c>
      <c r="F180" s="7" t="s">
        <v>859</v>
      </c>
      <c r="G180" s="7" t="s">
        <v>860</v>
      </c>
      <c r="H180" s="7"/>
      <c r="I180" s="7"/>
      <c r="J180" s="7"/>
      <c r="K180" s="7"/>
      <c r="L180" s="7"/>
      <c r="M180" s="7" t="s">
        <v>861</v>
      </c>
      <c r="N180" s="7" t="s">
        <v>1227</v>
      </c>
      <c r="O180" s="8" t="s">
        <v>1228</v>
      </c>
    </row>
    <row r="181" customFormat="false" ht="23.85" hidden="false" customHeight="false" outlineLevel="0" collapsed="false">
      <c r="A181" s="7" t="s">
        <v>34</v>
      </c>
      <c r="B181" s="8" t="s">
        <v>1229</v>
      </c>
      <c r="C181" s="7" t="s">
        <v>1230</v>
      </c>
      <c r="D181" s="7" t="s">
        <v>509</v>
      </c>
      <c r="E181" s="7" t="s">
        <v>429</v>
      </c>
      <c r="F181" s="7" t="s">
        <v>859</v>
      </c>
      <c r="G181" s="7" t="s">
        <v>860</v>
      </c>
      <c r="H181" s="7"/>
      <c r="I181" s="7"/>
      <c r="J181" s="7"/>
      <c r="K181" s="7"/>
      <c r="L181" s="7"/>
      <c r="M181" s="7" t="s">
        <v>861</v>
      </c>
      <c r="N181" s="7" t="s">
        <v>1231</v>
      </c>
      <c r="O181" s="8" t="s">
        <v>1232</v>
      </c>
    </row>
    <row r="182" customFormat="false" ht="23.85" hidden="false" customHeight="false" outlineLevel="0" collapsed="false">
      <c r="A182" s="7" t="s">
        <v>34</v>
      </c>
      <c r="B182" s="8" t="s">
        <v>1233</v>
      </c>
      <c r="C182" s="7" t="s">
        <v>1234</v>
      </c>
      <c r="D182" s="7" t="s">
        <v>509</v>
      </c>
      <c r="E182" s="7" t="s">
        <v>429</v>
      </c>
      <c r="F182" s="7" t="s">
        <v>859</v>
      </c>
      <c r="G182" s="7" t="s">
        <v>860</v>
      </c>
      <c r="H182" s="7"/>
      <c r="I182" s="7"/>
      <c r="J182" s="7"/>
      <c r="K182" s="7"/>
      <c r="L182" s="7"/>
      <c r="M182" s="7" t="s">
        <v>861</v>
      </c>
      <c r="N182" s="7" t="s">
        <v>1235</v>
      </c>
      <c r="O182" s="8" t="s">
        <v>1236</v>
      </c>
    </row>
    <row r="183" customFormat="false" ht="23.85" hidden="false" customHeight="false" outlineLevel="0" collapsed="false">
      <c r="A183" s="7" t="s">
        <v>34</v>
      </c>
      <c r="B183" s="8" t="s">
        <v>1237</v>
      </c>
      <c r="C183" s="7" t="s">
        <v>1238</v>
      </c>
      <c r="D183" s="7" t="s">
        <v>509</v>
      </c>
      <c r="E183" s="7" t="s">
        <v>429</v>
      </c>
      <c r="F183" s="7" t="s">
        <v>859</v>
      </c>
      <c r="G183" s="7" t="s">
        <v>860</v>
      </c>
      <c r="H183" s="7"/>
      <c r="I183" s="7"/>
      <c r="J183" s="7"/>
      <c r="K183" s="7"/>
      <c r="L183" s="7"/>
      <c r="M183" s="7" t="s">
        <v>861</v>
      </c>
      <c r="N183" s="7" t="s">
        <v>1239</v>
      </c>
      <c r="O183" s="8" t="s">
        <v>1240</v>
      </c>
    </row>
    <row r="184" customFormat="false" ht="23.85" hidden="false" customHeight="false" outlineLevel="0" collapsed="false">
      <c r="A184" s="7" t="s">
        <v>34</v>
      </c>
      <c r="B184" s="8" t="s">
        <v>1241</v>
      </c>
      <c r="C184" s="7" t="s">
        <v>1242</v>
      </c>
      <c r="D184" s="7" t="s">
        <v>509</v>
      </c>
      <c r="E184" s="7" t="s">
        <v>429</v>
      </c>
      <c r="F184" s="7" t="s">
        <v>859</v>
      </c>
      <c r="G184" s="7" t="s">
        <v>860</v>
      </c>
      <c r="H184" s="7"/>
      <c r="I184" s="7"/>
      <c r="J184" s="7"/>
      <c r="K184" s="7"/>
      <c r="L184" s="7"/>
      <c r="M184" s="7" t="s">
        <v>861</v>
      </c>
      <c r="N184" s="7" t="s">
        <v>1243</v>
      </c>
      <c r="O184" s="8" t="s">
        <v>1244</v>
      </c>
    </row>
    <row r="185" customFormat="false" ht="23.85" hidden="false" customHeight="false" outlineLevel="0" collapsed="false">
      <c r="A185" s="7" t="s">
        <v>34</v>
      </c>
      <c r="B185" s="8" t="s">
        <v>1245</v>
      </c>
      <c r="C185" s="7" t="s">
        <v>1246</v>
      </c>
      <c r="D185" s="7" t="s">
        <v>509</v>
      </c>
      <c r="E185" s="7" t="s">
        <v>429</v>
      </c>
      <c r="F185" s="7" t="s">
        <v>859</v>
      </c>
      <c r="G185" s="7" t="s">
        <v>860</v>
      </c>
      <c r="H185" s="7"/>
      <c r="I185" s="7"/>
      <c r="J185" s="7"/>
      <c r="K185" s="7"/>
      <c r="L185" s="7"/>
      <c r="M185" s="7" t="s">
        <v>861</v>
      </c>
      <c r="N185" s="7" t="s">
        <v>1247</v>
      </c>
      <c r="O185" s="8" t="s">
        <v>1248</v>
      </c>
    </row>
    <row r="186" customFormat="false" ht="23.85" hidden="false" customHeight="false" outlineLevel="0" collapsed="false">
      <c r="A186" s="7" t="s">
        <v>34</v>
      </c>
      <c r="B186" s="8" t="s">
        <v>1249</v>
      </c>
      <c r="C186" s="7" t="s">
        <v>1250</v>
      </c>
      <c r="D186" s="7" t="s">
        <v>437</v>
      </c>
      <c r="E186" s="7" t="s">
        <v>429</v>
      </c>
      <c r="F186" s="7" t="s">
        <v>859</v>
      </c>
      <c r="G186" s="7" t="s">
        <v>860</v>
      </c>
      <c r="H186" s="7"/>
      <c r="I186" s="7"/>
      <c r="J186" s="7"/>
      <c r="K186" s="7"/>
      <c r="L186" s="7"/>
      <c r="M186" s="7" t="s">
        <v>861</v>
      </c>
      <c r="N186" s="7" t="s">
        <v>1251</v>
      </c>
      <c r="O186" s="8" t="s">
        <v>1252</v>
      </c>
    </row>
    <row r="187" customFormat="false" ht="23.85" hidden="false" customHeight="false" outlineLevel="0" collapsed="false">
      <c r="A187" s="7" t="s">
        <v>34</v>
      </c>
      <c r="B187" s="8" t="s">
        <v>1253</v>
      </c>
      <c r="C187" s="7" t="s">
        <v>1254</v>
      </c>
      <c r="D187" s="7" t="s">
        <v>509</v>
      </c>
      <c r="E187" s="7" t="s">
        <v>429</v>
      </c>
      <c r="F187" s="7" t="s">
        <v>859</v>
      </c>
      <c r="G187" s="7" t="s">
        <v>860</v>
      </c>
      <c r="H187" s="7"/>
      <c r="I187" s="7"/>
      <c r="J187" s="7"/>
      <c r="K187" s="7"/>
      <c r="L187" s="7"/>
      <c r="M187" s="7" t="s">
        <v>861</v>
      </c>
      <c r="N187" s="7" t="s">
        <v>1255</v>
      </c>
      <c r="O187" s="8" t="s">
        <v>1256</v>
      </c>
    </row>
    <row r="188" customFormat="false" ht="23.85" hidden="false" customHeight="false" outlineLevel="0" collapsed="false">
      <c r="A188" s="7" t="s">
        <v>34</v>
      </c>
      <c r="B188" s="8" t="s">
        <v>1257</v>
      </c>
      <c r="C188" s="7" t="s">
        <v>1258</v>
      </c>
      <c r="D188" s="7" t="s">
        <v>437</v>
      </c>
      <c r="E188" s="7" t="s">
        <v>429</v>
      </c>
      <c r="F188" s="7" t="s">
        <v>859</v>
      </c>
      <c r="G188" s="7" t="s">
        <v>860</v>
      </c>
      <c r="H188" s="7"/>
      <c r="I188" s="7"/>
      <c r="J188" s="7"/>
      <c r="K188" s="7"/>
      <c r="L188" s="7"/>
      <c r="M188" s="7" t="s">
        <v>861</v>
      </c>
      <c r="N188" s="7" t="s">
        <v>1259</v>
      </c>
      <c r="O188" s="8" t="s">
        <v>1260</v>
      </c>
    </row>
    <row r="189" customFormat="false" ht="23.85" hidden="false" customHeight="false" outlineLevel="0" collapsed="false">
      <c r="A189" s="7" t="s">
        <v>34</v>
      </c>
      <c r="B189" s="8" t="s">
        <v>1261</v>
      </c>
      <c r="C189" s="7" t="s">
        <v>1262</v>
      </c>
      <c r="D189" s="7" t="s">
        <v>509</v>
      </c>
      <c r="E189" s="7" t="s">
        <v>429</v>
      </c>
      <c r="F189" s="7" t="s">
        <v>859</v>
      </c>
      <c r="G189" s="7" t="s">
        <v>860</v>
      </c>
      <c r="H189" s="7"/>
      <c r="I189" s="7"/>
      <c r="J189" s="7"/>
      <c r="K189" s="7"/>
      <c r="L189" s="7"/>
      <c r="M189" s="7" t="s">
        <v>861</v>
      </c>
      <c r="N189" s="7" t="s">
        <v>1263</v>
      </c>
      <c r="O189" s="8" t="s">
        <v>1264</v>
      </c>
    </row>
    <row r="190" customFormat="false" ht="23.85" hidden="false" customHeight="false" outlineLevel="0" collapsed="false">
      <c r="A190" s="7" t="s">
        <v>34</v>
      </c>
      <c r="B190" s="8" t="s">
        <v>1265</v>
      </c>
      <c r="C190" s="7" t="s">
        <v>1266</v>
      </c>
      <c r="D190" s="7" t="s">
        <v>437</v>
      </c>
      <c r="E190" s="7" t="s">
        <v>429</v>
      </c>
      <c r="F190" s="7" t="s">
        <v>859</v>
      </c>
      <c r="G190" s="7" t="s">
        <v>860</v>
      </c>
      <c r="H190" s="7"/>
      <c r="I190" s="7"/>
      <c r="J190" s="7"/>
      <c r="K190" s="7"/>
      <c r="L190" s="7"/>
      <c r="M190" s="7" t="s">
        <v>861</v>
      </c>
      <c r="N190" s="7" t="s">
        <v>1267</v>
      </c>
      <c r="O190" s="8" t="s">
        <v>1268</v>
      </c>
    </row>
    <row r="191" customFormat="false" ht="23.85" hidden="false" customHeight="false" outlineLevel="0" collapsed="false">
      <c r="A191" s="7" t="s">
        <v>34</v>
      </c>
      <c r="B191" s="8" t="s">
        <v>1269</v>
      </c>
      <c r="C191" s="7" t="s">
        <v>1270</v>
      </c>
      <c r="D191" s="7" t="s">
        <v>509</v>
      </c>
      <c r="E191" s="7" t="s">
        <v>429</v>
      </c>
      <c r="F191" s="7" t="s">
        <v>859</v>
      </c>
      <c r="G191" s="7" t="s">
        <v>860</v>
      </c>
      <c r="H191" s="7"/>
      <c r="I191" s="7"/>
      <c r="J191" s="7"/>
      <c r="K191" s="7"/>
      <c r="L191" s="7"/>
      <c r="M191" s="7" t="s">
        <v>861</v>
      </c>
      <c r="N191" s="7" t="s">
        <v>1271</v>
      </c>
      <c r="O191" s="8" t="s">
        <v>1272</v>
      </c>
    </row>
    <row r="192" customFormat="false" ht="23.85" hidden="false" customHeight="false" outlineLevel="0" collapsed="false">
      <c r="A192" s="7" t="s">
        <v>34</v>
      </c>
      <c r="B192" s="8" t="s">
        <v>1273</v>
      </c>
      <c r="C192" s="7" t="s">
        <v>1274</v>
      </c>
      <c r="D192" s="7" t="s">
        <v>437</v>
      </c>
      <c r="E192" s="7" t="s">
        <v>429</v>
      </c>
      <c r="F192" s="7" t="s">
        <v>859</v>
      </c>
      <c r="G192" s="7" t="s">
        <v>860</v>
      </c>
      <c r="H192" s="7"/>
      <c r="I192" s="7"/>
      <c r="J192" s="7"/>
      <c r="K192" s="7"/>
      <c r="L192" s="7"/>
      <c r="M192" s="7" t="s">
        <v>861</v>
      </c>
      <c r="N192" s="7" t="s">
        <v>1275</v>
      </c>
      <c r="O192" s="8" t="s">
        <v>1276</v>
      </c>
    </row>
    <row r="193" customFormat="false" ht="23.85" hidden="false" customHeight="false" outlineLevel="0" collapsed="false">
      <c r="A193" s="7" t="s">
        <v>34</v>
      </c>
      <c r="B193" s="8" t="s">
        <v>1277</v>
      </c>
      <c r="C193" s="7" t="s">
        <v>1278</v>
      </c>
      <c r="D193" s="7" t="s">
        <v>509</v>
      </c>
      <c r="E193" s="7" t="s">
        <v>429</v>
      </c>
      <c r="F193" s="7" t="s">
        <v>859</v>
      </c>
      <c r="G193" s="7" t="s">
        <v>860</v>
      </c>
      <c r="H193" s="7"/>
      <c r="I193" s="7"/>
      <c r="J193" s="7"/>
      <c r="K193" s="7"/>
      <c r="L193" s="7"/>
      <c r="M193" s="7" t="s">
        <v>861</v>
      </c>
      <c r="N193" s="7" t="s">
        <v>1279</v>
      </c>
      <c r="O193" s="8" t="s">
        <v>1280</v>
      </c>
    </row>
    <row r="194" customFormat="false" ht="23.85" hidden="false" customHeight="false" outlineLevel="0" collapsed="false">
      <c r="A194" s="7" t="s">
        <v>34</v>
      </c>
      <c r="B194" s="8" t="s">
        <v>1281</v>
      </c>
      <c r="C194" s="7" t="s">
        <v>1282</v>
      </c>
      <c r="D194" s="7" t="s">
        <v>437</v>
      </c>
      <c r="E194" s="7" t="s">
        <v>429</v>
      </c>
      <c r="F194" s="7" t="s">
        <v>859</v>
      </c>
      <c r="G194" s="7" t="s">
        <v>860</v>
      </c>
      <c r="H194" s="7"/>
      <c r="I194" s="7"/>
      <c r="J194" s="7"/>
      <c r="K194" s="7"/>
      <c r="L194" s="7"/>
      <c r="M194" s="7" t="s">
        <v>861</v>
      </c>
      <c r="N194" s="7" t="s">
        <v>1283</v>
      </c>
      <c r="O194" s="8" t="s">
        <v>1284</v>
      </c>
    </row>
    <row r="195" customFormat="false" ht="23.85" hidden="false" customHeight="false" outlineLevel="0" collapsed="false">
      <c r="A195" s="7" t="s">
        <v>34</v>
      </c>
      <c r="B195" s="8" t="s">
        <v>1285</v>
      </c>
      <c r="C195" s="7" t="s">
        <v>1286</v>
      </c>
      <c r="D195" s="7" t="s">
        <v>509</v>
      </c>
      <c r="E195" s="7" t="s">
        <v>429</v>
      </c>
      <c r="F195" s="7" t="s">
        <v>859</v>
      </c>
      <c r="G195" s="7" t="s">
        <v>860</v>
      </c>
      <c r="H195" s="7"/>
      <c r="I195" s="7"/>
      <c r="J195" s="7"/>
      <c r="K195" s="7"/>
      <c r="L195" s="7"/>
      <c r="M195" s="7" t="s">
        <v>861</v>
      </c>
      <c r="N195" s="7" t="s">
        <v>1287</v>
      </c>
      <c r="O195" s="8" t="s">
        <v>1288</v>
      </c>
    </row>
    <row r="196" customFormat="false" ht="23.85" hidden="false" customHeight="false" outlineLevel="0" collapsed="false">
      <c r="A196" s="7" t="s">
        <v>34</v>
      </c>
      <c r="B196" s="8" t="s">
        <v>1289</v>
      </c>
      <c r="C196" s="7" t="s">
        <v>1290</v>
      </c>
      <c r="D196" s="7" t="s">
        <v>437</v>
      </c>
      <c r="E196" s="7" t="s">
        <v>429</v>
      </c>
      <c r="F196" s="7" t="s">
        <v>859</v>
      </c>
      <c r="G196" s="7" t="s">
        <v>860</v>
      </c>
      <c r="H196" s="7"/>
      <c r="I196" s="7"/>
      <c r="J196" s="7"/>
      <c r="K196" s="7"/>
      <c r="L196" s="7"/>
      <c r="M196" s="7" t="s">
        <v>861</v>
      </c>
      <c r="N196" s="7" t="s">
        <v>1291</v>
      </c>
      <c r="O196" s="8" t="s">
        <v>1292</v>
      </c>
    </row>
    <row r="197" customFormat="false" ht="23.85" hidden="false" customHeight="false" outlineLevel="0" collapsed="false">
      <c r="A197" s="7" t="s">
        <v>34</v>
      </c>
      <c r="B197" s="8" t="s">
        <v>1293</v>
      </c>
      <c r="C197" s="7" t="s">
        <v>1294</v>
      </c>
      <c r="D197" s="7" t="s">
        <v>509</v>
      </c>
      <c r="E197" s="7" t="s">
        <v>429</v>
      </c>
      <c r="F197" s="7" t="s">
        <v>859</v>
      </c>
      <c r="G197" s="7" t="s">
        <v>860</v>
      </c>
      <c r="H197" s="7"/>
      <c r="I197" s="7"/>
      <c r="J197" s="7"/>
      <c r="K197" s="7"/>
      <c r="L197" s="7"/>
      <c r="M197" s="7" t="s">
        <v>861</v>
      </c>
      <c r="N197" s="7" t="s">
        <v>1295</v>
      </c>
      <c r="O197" s="8" t="s">
        <v>1296</v>
      </c>
    </row>
    <row r="198" customFormat="false" ht="23.85" hidden="false" customHeight="false" outlineLevel="0" collapsed="false">
      <c r="A198" s="7" t="s">
        <v>34</v>
      </c>
      <c r="B198" s="8" t="s">
        <v>1297</v>
      </c>
      <c r="C198" s="7" t="s">
        <v>1298</v>
      </c>
      <c r="D198" s="7" t="s">
        <v>437</v>
      </c>
      <c r="E198" s="7" t="s">
        <v>429</v>
      </c>
      <c r="F198" s="7" t="s">
        <v>859</v>
      </c>
      <c r="G198" s="7" t="s">
        <v>860</v>
      </c>
      <c r="H198" s="7"/>
      <c r="I198" s="7"/>
      <c r="J198" s="7"/>
      <c r="K198" s="7"/>
      <c r="L198" s="7"/>
      <c r="M198" s="7" t="s">
        <v>861</v>
      </c>
      <c r="N198" s="7" t="s">
        <v>1299</v>
      </c>
      <c r="O198" s="8" t="s">
        <v>1300</v>
      </c>
    </row>
    <row r="199" customFormat="false" ht="23.85" hidden="false" customHeight="false" outlineLevel="0" collapsed="false">
      <c r="A199" s="7" t="s">
        <v>34</v>
      </c>
      <c r="B199" s="8" t="s">
        <v>1301</v>
      </c>
      <c r="C199" s="7" t="s">
        <v>1302</v>
      </c>
      <c r="D199" s="7" t="s">
        <v>509</v>
      </c>
      <c r="E199" s="7" t="s">
        <v>429</v>
      </c>
      <c r="F199" s="7" t="s">
        <v>859</v>
      </c>
      <c r="G199" s="7" t="s">
        <v>860</v>
      </c>
      <c r="H199" s="7"/>
      <c r="I199" s="7"/>
      <c r="J199" s="7"/>
      <c r="K199" s="7"/>
      <c r="L199" s="7"/>
      <c r="M199" s="7" t="s">
        <v>861</v>
      </c>
      <c r="N199" s="7" t="s">
        <v>1303</v>
      </c>
      <c r="O199" s="8" t="s">
        <v>1304</v>
      </c>
    </row>
    <row r="200" customFormat="false" ht="23.85" hidden="false" customHeight="false" outlineLevel="0" collapsed="false">
      <c r="A200" s="7" t="s">
        <v>34</v>
      </c>
      <c r="B200" s="8" t="s">
        <v>1305</v>
      </c>
      <c r="C200" s="7" t="s">
        <v>1306</v>
      </c>
      <c r="D200" s="7" t="s">
        <v>437</v>
      </c>
      <c r="E200" s="7" t="s">
        <v>429</v>
      </c>
      <c r="F200" s="7" t="s">
        <v>859</v>
      </c>
      <c r="G200" s="7" t="s">
        <v>860</v>
      </c>
      <c r="H200" s="7"/>
      <c r="I200" s="7"/>
      <c r="J200" s="7"/>
      <c r="K200" s="7"/>
      <c r="L200" s="7"/>
      <c r="M200" s="7" t="s">
        <v>861</v>
      </c>
      <c r="N200" s="7" t="s">
        <v>1307</v>
      </c>
      <c r="O200" s="8" t="s">
        <v>1308</v>
      </c>
    </row>
    <row r="201" customFormat="false" ht="23.85" hidden="false" customHeight="false" outlineLevel="0" collapsed="false">
      <c r="A201" s="7" t="s">
        <v>34</v>
      </c>
      <c r="B201" s="8" t="s">
        <v>1309</v>
      </c>
      <c r="C201" s="7" t="s">
        <v>1310</v>
      </c>
      <c r="D201" s="7" t="s">
        <v>509</v>
      </c>
      <c r="E201" s="7" t="s">
        <v>429</v>
      </c>
      <c r="F201" s="7" t="s">
        <v>859</v>
      </c>
      <c r="G201" s="7" t="s">
        <v>860</v>
      </c>
      <c r="H201" s="7"/>
      <c r="I201" s="7"/>
      <c r="J201" s="7"/>
      <c r="K201" s="7"/>
      <c r="L201" s="7"/>
      <c r="M201" s="7" t="s">
        <v>861</v>
      </c>
      <c r="N201" s="7" t="s">
        <v>1311</v>
      </c>
      <c r="O201" s="8" t="s">
        <v>1312</v>
      </c>
    </row>
    <row r="202" customFormat="false" ht="23.85" hidden="false" customHeight="false" outlineLevel="0" collapsed="false">
      <c r="A202" s="7" t="s">
        <v>34</v>
      </c>
      <c r="B202" s="8" t="s">
        <v>1313</v>
      </c>
      <c r="C202" s="7" t="s">
        <v>1314</v>
      </c>
      <c r="D202" s="7" t="s">
        <v>509</v>
      </c>
      <c r="E202" s="7" t="s">
        <v>429</v>
      </c>
      <c r="F202" s="7" t="s">
        <v>859</v>
      </c>
      <c r="G202" s="7" t="s">
        <v>860</v>
      </c>
      <c r="H202" s="7"/>
      <c r="I202" s="7"/>
      <c r="J202" s="7"/>
      <c r="K202" s="7"/>
      <c r="L202" s="7"/>
      <c r="M202" s="7" t="s">
        <v>861</v>
      </c>
      <c r="N202" s="7" t="s">
        <v>1315</v>
      </c>
      <c r="O202" s="8" t="s">
        <v>1316</v>
      </c>
    </row>
    <row r="203" customFormat="false" ht="23.85" hidden="false" customHeight="false" outlineLevel="0" collapsed="false">
      <c r="A203" s="5" t="s">
        <v>34</v>
      </c>
      <c r="B203" s="6" t="s">
        <v>1317</v>
      </c>
      <c r="C203" s="5" t="s">
        <v>1318</v>
      </c>
      <c r="D203" s="5" t="s">
        <v>509</v>
      </c>
      <c r="E203" s="5" t="s">
        <v>510</v>
      </c>
      <c r="F203" s="5" t="s">
        <v>1319</v>
      </c>
      <c r="G203" s="5" t="s">
        <v>431</v>
      </c>
      <c r="H203" s="5"/>
      <c r="I203" s="5"/>
      <c r="J203" s="5"/>
      <c r="K203" s="5" t="s">
        <v>1320</v>
      </c>
      <c r="L203" s="5"/>
      <c r="M203" s="5" t="s">
        <v>1321</v>
      </c>
      <c r="N203" s="5" t="s">
        <v>1322</v>
      </c>
      <c r="O203" s="6" t="s">
        <v>1323</v>
      </c>
    </row>
    <row r="204" customFormat="false" ht="23.85" hidden="false" customHeight="false" outlineLevel="0" collapsed="false">
      <c r="A204" s="5" t="s">
        <v>34</v>
      </c>
      <c r="B204" s="6" t="s">
        <v>125</v>
      </c>
      <c r="C204" s="5" t="s">
        <v>1324</v>
      </c>
      <c r="D204" s="5" t="s">
        <v>509</v>
      </c>
      <c r="E204" s="5" t="s">
        <v>510</v>
      </c>
      <c r="F204" s="5" t="s">
        <v>1319</v>
      </c>
      <c r="G204" s="5" t="s">
        <v>431</v>
      </c>
      <c r="H204" s="5"/>
      <c r="I204" s="5"/>
      <c r="J204" s="5"/>
      <c r="K204" s="5" t="s">
        <v>1325</v>
      </c>
      <c r="L204" s="5"/>
      <c r="M204" s="5" t="s">
        <v>1326</v>
      </c>
      <c r="N204" s="5" t="s">
        <v>1327</v>
      </c>
      <c r="O204" s="6" t="s">
        <v>129</v>
      </c>
    </row>
    <row r="205" customFormat="false" ht="32.8" hidden="false" customHeight="false" outlineLevel="0" collapsed="false">
      <c r="A205" s="9" t="s">
        <v>34</v>
      </c>
      <c r="B205" s="10" t="s">
        <v>1328</v>
      </c>
      <c r="C205" s="9" t="s">
        <v>1329</v>
      </c>
      <c r="D205" s="9" t="s">
        <v>509</v>
      </c>
      <c r="E205" s="9" t="s">
        <v>429</v>
      </c>
      <c r="F205" s="9" t="s">
        <v>1319</v>
      </c>
      <c r="G205" s="9" t="s">
        <v>1330</v>
      </c>
      <c r="H205" s="9"/>
      <c r="I205" s="9"/>
      <c r="J205" s="9" t="s">
        <v>1331</v>
      </c>
      <c r="K205" s="9"/>
      <c r="L205" s="9"/>
      <c r="M205" s="9" t="s">
        <v>1332</v>
      </c>
      <c r="N205" s="9" t="s">
        <v>1333</v>
      </c>
      <c r="O205" s="10" t="s">
        <v>1334</v>
      </c>
    </row>
    <row r="206" customFormat="false" ht="23.85" hidden="false" customHeight="false" outlineLevel="0" collapsed="false">
      <c r="A206" s="9" t="s">
        <v>34</v>
      </c>
      <c r="B206" s="10" t="s">
        <v>1335</v>
      </c>
      <c r="C206" s="9" t="s">
        <v>1336</v>
      </c>
      <c r="D206" s="9" t="s">
        <v>509</v>
      </c>
      <c r="E206" s="9" t="s">
        <v>510</v>
      </c>
      <c r="F206" s="9" t="s">
        <v>1319</v>
      </c>
      <c r="G206" s="9" t="s">
        <v>1330</v>
      </c>
      <c r="H206" s="9"/>
      <c r="I206" s="9"/>
      <c r="J206" s="9" t="s">
        <v>1337</v>
      </c>
      <c r="K206" s="9"/>
      <c r="L206" s="9"/>
      <c r="M206" s="9" t="s">
        <v>1338</v>
      </c>
      <c r="N206" s="9" t="s">
        <v>1339</v>
      </c>
      <c r="O206" s="10" t="s">
        <v>1340</v>
      </c>
    </row>
    <row r="207" customFormat="false" ht="22.35" hidden="false" customHeight="false" outlineLevel="0" collapsed="false">
      <c r="A207" s="5" t="s">
        <v>34</v>
      </c>
      <c r="B207" s="6" t="s">
        <v>1341</v>
      </c>
      <c r="C207" s="5" t="s">
        <v>1342</v>
      </c>
      <c r="D207" s="5" t="s">
        <v>566</v>
      </c>
      <c r="E207" s="5" t="s">
        <v>510</v>
      </c>
      <c r="F207" s="5" t="s">
        <v>1319</v>
      </c>
      <c r="G207" s="5" t="s">
        <v>431</v>
      </c>
      <c r="H207" s="5"/>
      <c r="I207" s="5"/>
      <c r="J207" s="5"/>
      <c r="K207" s="5" t="s">
        <v>1343</v>
      </c>
      <c r="L207" s="5" t="s">
        <v>1344</v>
      </c>
      <c r="M207" s="5" t="s">
        <v>1345</v>
      </c>
      <c r="N207" s="5" t="s">
        <v>1346</v>
      </c>
      <c r="O207" s="6" t="s">
        <v>1347</v>
      </c>
    </row>
    <row r="208" customFormat="false" ht="35.05" hidden="false" customHeight="false" outlineLevel="0" collapsed="false">
      <c r="A208" s="5" t="s">
        <v>34</v>
      </c>
      <c r="B208" s="6" t="s">
        <v>1348</v>
      </c>
      <c r="C208" s="5" t="s">
        <v>1349</v>
      </c>
      <c r="D208" s="5" t="s">
        <v>566</v>
      </c>
      <c r="E208" s="5" t="s">
        <v>510</v>
      </c>
      <c r="F208" s="5" t="s">
        <v>1319</v>
      </c>
      <c r="G208" s="5" t="s">
        <v>431</v>
      </c>
      <c r="H208" s="5"/>
      <c r="I208" s="5"/>
      <c r="J208" s="5"/>
      <c r="K208" s="5"/>
      <c r="L208" s="5" t="s">
        <v>1350</v>
      </c>
      <c r="M208" s="5" t="s">
        <v>1351</v>
      </c>
      <c r="N208" s="5" t="s">
        <v>1352</v>
      </c>
      <c r="O208" s="6" t="s">
        <v>1353</v>
      </c>
    </row>
    <row r="209" customFormat="false" ht="32.8" hidden="false" customHeight="false" outlineLevel="0" collapsed="false">
      <c r="A209" s="9" t="s">
        <v>34</v>
      </c>
      <c r="B209" s="10" t="s">
        <v>1354</v>
      </c>
      <c r="C209" s="9" t="s">
        <v>1355</v>
      </c>
      <c r="D209" s="9" t="s">
        <v>428</v>
      </c>
      <c r="E209" s="9" t="s">
        <v>429</v>
      </c>
      <c r="F209" s="9" t="s">
        <v>1319</v>
      </c>
      <c r="G209" s="9" t="s">
        <v>1330</v>
      </c>
      <c r="H209" s="9"/>
      <c r="I209" s="9"/>
      <c r="J209" s="9" t="s">
        <v>1356</v>
      </c>
      <c r="K209" s="9"/>
      <c r="L209" s="9"/>
      <c r="M209" s="9" t="s">
        <v>1357</v>
      </c>
      <c r="N209" s="9" t="s">
        <v>1358</v>
      </c>
      <c r="O209" s="10" t="s">
        <v>1359</v>
      </c>
    </row>
    <row r="210" customFormat="false" ht="32.8" hidden="false" customHeight="false" outlineLevel="0" collapsed="false">
      <c r="A210" s="9" t="s">
        <v>34</v>
      </c>
      <c r="B210" s="10" t="s">
        <v>1360</v>
      </c>
      <c r="C210" s="9" t="s">
        <v>1361</v>
      </c>
      <c r="D210" s="9" t="s">
        <v>509</v>
      </c>
      <c r="E210" s="9" t="s">
        <v>429</v>
      </c>
      <c r="F210" s="9" t="s">
        <v>1319</v>
      </c>
      <c r="G210" s="9" t="s">
        <v>1330</v>
      </c>
      <c r="H210" s="9"/>
      <c r="I210" s="9"/>
      <c r="J210" s="9" t="s">
        <v>1362</v>
      </c>
      <c r="K210" s="9"/>
      <c r="L210" s="9"/>
      <c r="M210" s="9" t="s">
        <v>1363</v>
      </c>
      <c r="N210" s="9" t="s">
        <v>1364</v>
      </c>
      <c r="O210" s="10" t="s">
        <v>1365</v>
      </c>
    </row>
    <row r="211" customFormat="false" ht="15" hidden="false" customHeight="false" outlineLevel="0" collapsed="false">
      <c r="A211" s="5" t="s">
        <v>34</v>
      </c>
      <c r="B211" s="6" t="s">
        <v>1366</v>
      </c>
      <c r="C211" s="5" t="s">
        <v>1367</v>
      </c>
      <c r="D211" s="5" t="s">
        <v>509</v>
      </c>
      <c r="E211" s="5" t="s">
        <v>510</v>
      </c>
      <c r="F211" s="5" t="s">
        <v>1319</v>
      </c>
      <c r="G211" s="5" t="s">
        <v>431</v>
      </c>
      <c r="H211" s="5"/>
      <c r="I211" s="5"/>
      <c r="J211" s="5"/>
      <c r="K211" s="5" t="s">
        <v>1368</v>
      </c>
      <c r="L211" s="5"/>
      <c r="M211" s="5" t="s">
        <v>1369</v>
      </c>
      <c r="N211" s="5" t="s">
        <v>1370</v>
      </c>
      <c r="O211" s="6" t="s">
        <v>1371</v>
      </c>
    </row>
    <row r="212" customFormat="false" ht="15" hidden="false" customHeight="false" outlineLevel="0" collapsed="false">
      <c r="A212" s="5" t="s">
        <v>34</v>
      </c>
      <c r="B212" s="6" t="s">
        <v>1372</v>
      </c>
      <c r="C212" s="5" t="s">
        <v>1373</v>
      </c>
      <c r="D212" s="5" t="s">
        <v>509</v>
      </c>
      <c r="E212" s="5" t="s">
        <v>510</v>
      </c>
      <c r="F212" s="5" t="s">
        <v>1319</v>
      </c>
      <c r="G212" s="5" t="s">
        <v>431</v>
      </c>
      <c r="H212" s="5"/>
      <c r="I212" s="5"/>
      <c r="J212" s="5"/>
      <c r="K212" s="5" t="s">
        <v>1374</v>
      </c>
      <c r="L212" s="5"/>
      <c r="M212" s="5" t="s">
        <v>1375</v>
      </c>
      <c r="N212" s="5" t="s">
        <v>1376</v>
      </c>
      <c r="O212" s="6" t="s">
        <v>1377</v>
      </c>
    </row>
    <row r="213" customFormat="false" ht="22.35" hidden="false" customHeight="false" outlineLevel="0" collapsed="false">
      <c r="A213" s="5" t="s">
        <v>34</v>
      </c>
      <c r="B213" s="6" t="s">
        <v>1378</v>
      </c>
      <c r="C213" s="5" t="s">
        <v>1379</v>
      </c>
      <c r="D213" s="5" t="s">
        <v>509</v>
      </c>
      <c r="E213" s="5" t="s">
        <v>429</v>
      </c>
      <c r="F213" s="5" t="s">
        <v>1319</v>
      </c>
      <c r="G213" s="5" t="s">
        <v>431</v>
      </c>
      <c r="H213" s="5"/>
      <c r="I213" s="5"/>
      <c r="J213" s="5"/>
      <c r="K213" s="5" t="s">
        <v>1380</v>
      </c>
      <c r="L213" s="5"/>
      <c r="M213" s="5" t="s">
        <v>1381</v>
      </c>
      <c r="N213" s="5" t="s">
        <v>1382</v>
      </c>
      <c r="O213" s="6" t="s">
        <v>1383</v>
      </c>
    </row>
    <row r="214" customFormat="false" ht="22.35" hidden="false" customHeight="false" outlineLevel="0" collapsed="false">
      <c r="A214" s="5" t="s">
        <v>34</v>
      </c>
      <c r="B214" s="6" t="s">
        <v>1384</v>
      </c>
      <c r="C214" s="5" t="s">
        <v>1385</v>
      </c>
      <c r="D214" s="5" t="s">
        <v>509</v>
      </c>
      <c r="E214" s="5" t="s">
        <v>510</v>
      </c>
      <c r="F214" s="5" t="s">
        <v>1319</v>
      </c>
      <c r="G214" s="5" t="s">
        <v>431</v>
      </c>
      <c r="H214" s="5"/>
      <c r="I214" s="5"/>
      <c r="J214" s="5"/>
      <c r="K214" s="5" t="s">
        <v>1386</v>
      </c>
      <c r="L214" s="5"/>
      <c r="M214" s="5" t="s">
        <v>1387</v>
      </c>
      <c r="N214" s="5" t="s">
        <v>1388</v>
      </c>
      <c r="O214" s="6" t="s">
        <v>1389</v>
      </c>
    </row>
    <row r="215" customFormat="false" ht="22.35" hidden="false" customHeight="false" outlineLevel="0" collapsed="false">
      <c r="A215" s="5" t="s">
        <v>34</v>
      </c>
      <c r="B215" s="6" t="s">
        <v>1390</v>
      </c>
      <c r="C215" s="5" t="s">
        <v>1391</v>
      </c>
      <c r="D215" s="5" t="s">
        <v>437</v>
      </c>
      <c r="E215" s="5" t="s">
        <v>429</v>
      </c>
      <c r="F215" s="5" t="s">
        <v>1319</v>
      </c>
      <c r="G215" s="5" t="s">
        <v>431</v>
      </c>
      <c r="H215" s="5"/>
      <c r="I215" s="5"/>
      <c r="J215" s="5"/>
      <c r="K215" s="5"/>
      <c r="L215" s="5"/>
      <c r="M215" s="5" t="s">
        <v>1392</v>
      </c>
      <c r="N215" s="5" t="s">
        <v>1393</v>
      </c>
      <c r="O215" s="6" t="s">
        <v>1394</v>
      </c>
    </row>
    <row r="216" customFormat="false" ht="23.85" hidden="false" customHeight="false" outlineLevel="0" collapsed="false">
      <c r="A216" s="5" t="s">
        <v>34</v>
      </c>
      <c r="B216" s="6" t="s">
        <v>1395</v>
      </c>
      <c r="C216" s="5" t="s">
        <v>1396</v>
      </c>
      <c r="D216" s="5" t="s">
        <v>509</v>
      </c>
      <c r="E216" s="5" t="s">
        <v>510</v>
      </c>
      <c r="F216" s="5" t="s">
        <v>1319</v>
      </c>
      <c r="G216" s="5" t="s">
        <v>431</v>
      </c>
      <c r="H216" s="5"/>
      <c r="I216" s="5"/>
      <c r="J216" s="5"/>
      <c r="K216" s="5" t="s">
        <v>1397</v>
      </c>
      <c r="L216" s="5"/>
      <c r="M216" s="5" t="s">
        <v>1398</v>
      </c>
      <c r="N216" s="5" t="s">
        <v>1399</v>
      </c>
      <c r="O216" s="6" t="s">
        <v>1400</v>
      </c>
    </row>
    <row r="217" customFormat="false" ht="22.35" hidden="false" customHeight="false" outlineLevel="0" collapsed="false">
      <c r="A217" s="5" t="s">
        <v>34</v>
      </c>
      <c r="B217" s="6" t="s">
        <v>1401</v>
      </c>
      <c r="C217" s="5" t="s">
        <v>1402</v>
      </c>
      <c r="D217" s="5" t="s">
        <v>509</v>
      </c>
      <c r="E217" s="5" t="s">
        <v>429</v>
      </c>
      <c r="F217" s="5" t="s">
        <v>1319</v>
      </c>
      <c r="G217" s="5" t="s">
        <v>431</v>
      </c>
      <c r="H217" s="5"/>
      <c r="I217" s="5"/>
      <c r="J217" s="5"/>
      <c r="K217" s="5" t="s">
        <v>1403</v>
      </c>
      <c r="L217" s="5"/>
      <c r="M217" s="5" t="s">
        <v>1404</v>
      </c>
      <c r="N217" s="5" t="s">
        <v>1405</v>
      </c>
      <c r="O217" s="6" t="s">
        <v>1406</v>
      </c>
    </row>
    <row r="218" customFormat="false" ht="32.8" hidden="false" customHeight="false" outlineLevel="0" collapsed="false">
      <c r="A218" s="5" t="s">
        <v>34</v>
      </c>
      <c r="B218" s="6" t="s">
        <v>152</v>
      </c>
      <c r="C218" s="5" t="s">
        <v>1407</v>
      </c>
      <c r="D218" s="5" t="s">
        <v>566</v>
      </c>
      <c r="E218" s="5" t="s">
        <v>510</v>
      </c>
      <c r="F218" s="5" t="s">
        <v>1319</v>
      </c>
      <c r="G218" s="5" t="s">
        <v>431</v>
      </c>
      <c r="H218" s="5"/>
      <c r="I218" s="5"/>
      <c r="J218" s="5"/>
      <c r="K218" s="5" t="s">
        <v>1408</v>
      </c>
      <c r="L218" s="5" t="s">
        <v>1409</v>
      </c>
      <c r="M218" s="5" t="s">
        <v>1410</v>
      </c>
      <c r="N218" s="5" t="s">
        <v>1411</v>
      </c>
      <c r="O218" s="6" t="s">
        <v>1412</v>
      </c>
    </row>
    <row r="219" customFormat="false" ht="15" hidden="false" customHeight="false" outlineLevel="0" collapsed="false">
      <c r="A219" s="5" t="s">
        <v>34</v>
      </c>
      <c r="B219" s="6" t="s">
        <v>1413</v>
      </c>
      <c r="C219" s="5" t="s">
        <v>1414</v>
      </c>
      <c r="D219" s="5" t="s">
        <v>509</v>
      </c>
      <c r="E219" s="5" t="s">
        <v>510</v>
      </c>
      <c r="F219" s="5" t="s">
        <v>1319</v>
      </c>
      <c r="G219" s="5" t="s">
        <v>431</v>
      </c>
      <c r="H219" s="5"/>
      <c r="I219" s="5"/>
      <c r="J219" s="5"/>
      <c r="K219" s="5"/>
      <c r="L219" s="5"/>
      <c r="M219" s="5" t="s">
        <v>1415</v>
      </c>
      <c r="N219" s="5" t="s">
        <v>1416</v>
      </c>
      <c r="O219" s="6" t="s">
        <v>1417</v>
      </c>
    </row>
    <row r="220" customFormat="false" ht="22.35" hidden="false" customHeight="false" outlineLevel="0" collapsed="false">
      <c r="A220" s="5" t="s">
        <v>34</v>
      </c>
      <c r="B220" s="6" t="s">
        <v>1418</v>
      </c>
      <c r="C220" s="5" t="s">
        <v>1419</v>
      </c>
      <c r="D220" s="5" t="s">
        <v>509</v>
      </c>
      <c r="E220" s="5" t="s">
        <v>429</v>
      </c>
      <c r="F220" s="5" t="s">
        <v>1319</v>
      </c>
      <c r="G220" s="5" t="s">
        <v>431</v>
      </c>
      <c r="H220" s="5"/>
      <c r="I220" s="5"/>
      <c r="J220" s="5"/>
      <c r="K220" s="5" t="s">
        <v>1420</v>
      </c>
      <c r="L220" s="5"/>
      <c r="M220" s="5" t="s">
        <v>1421</v>
      </c>
      <c r="N220" s="5" t="s">
        <v>1422</v>
      </c>
      <c r="O220" s="6" t="s">
        <v>1423</v>
      </c>
    </row>
    <row r="221" customFormat="false" ht="23.85" hidden="false" customHeight="false" outlineLevel="0" collapsed="false">
      <c r="A221" s="5" t="s">
        <v>34</v>
      </c>
      <c r="B221" s="6" t="s">
        <v>134</v>
      </c>
      <c r="C221" s="5" t="s">
        <v>1424</v>
      </c>
      <c r="D221" s="5" t="s">
        <v>509</v>
      </c>
      <c r="E221" s="5" t="s">
        <v>510</v>
      </c>
      <c r="F221" s="5" t="s">
        <v>1319</v>
      </c>
      <c r="G221" s="5" t="s">
        <v>431</v>
      </c>
      <c r="H221" s="5"/>
      <c r="I221" s="5"/>
      <c r="J221" s="5"/>
      <c r="K221" s="5" t="s">
        <v>1425</v>
      </c>
      <c r="L221" s="5"/>
      <c r="M221" s="5" t="s">
        <v>1426</v>
      </c>
      <c r="N221" s="5" t="s">
        <v>1427</v>
      </c>
      <c r="O221" s="6" t="s">
        <v>137</v>
      </c>
    </row>
    <row r="222" customFormat="false" ht="15" hidden="false" customHeight="false" outlineLevel="0" collapsed="false">
      <c r="A222" s="5" t="s">
        <v>34</v>
      </c>
      <c r="B222" s="6" t="s">
        <v>1428</v>
      </c>
      <c r="C222" s="5" t="s">
        <v>1429</v>
      </c>
      <c r="D222" s="5" t="s">
        <v>509</v>
      </c>
      <c r="E222" s="5" t="s">
        <v>510</v>
      </c>
      <c r="F222" s="5" t="s">
        <v>1319</v>
      </c>
      <c r="G222" s="5" t="s">
        <v>431</v>
      </c>
      <c r="H222" s="5"/>
      <c r="I222" s="5"/>
      <c r="J222" s="5"/>
      <c r="K222" s="5"/>
      <c r="L222" s="5"/>
      <c r="M222" s="5" t="s">
        <v>1430</v>
      </c>
      <c r="N222" s="5" t="s">
        <v>1431</v>
      </c>
      <c r="O222" s="6" t="s">
        <v>1432</v>
      </c>
    </row>
    <row r="223" customFormat="false" ht="23.85" hidden="false" customHeight="false" outlineLevel="0" collapsed="false">
      <c r="A223" s="5" t="s">
        <v>34</v>
      </c>
      <c r="B223" s="6" t="s">
        <v>1433</v>
      </c>
      <c r="C223" s="5" t="s">
        <v>1434</v>
      </c>
      <c r="D223" s="5" t="s">
        <v>437</v>
      </c>
      <c r="E223" s="5" t="s">
        <v>429</v>
      </c>
      <c r="F223" s="5" t="s">
        <v>1319</v>
      </c>
      <c r="G223" s="5" t="s">
        <v>431</v>
      </c>
      <c r="H223" s="5"/>
      <c r="I223" s="5"/>
      <c r="J223" s="5"/>
      <c r="K223" s="5"/>
      <c r="L223" s="5"/>
      <c r="M223" s="5" t="s">
        <v>1435</v>
      </c>
      <c r="N223" s="5" t="s">
        <v>1436</v>
      </c>
      <c r="O223" s="6" t="s">
        <v>1437</v>
      </c>
    </row>
    <row r="224" customFormat="false" ht="15" hidden="false" customHeight="false" outlineLevel="0" collapsed="false">
      <c r="A224" s="5" t="s">
        <v>34</v>
      </c>
      <c r="B224" s="6" t="s">
        <v>1438</v>
      </c>
      <c r="C224" s="5" t="s">
        <v>1439</v>
      </c>
      <c r="D224" s="5" t="s">
        <v>566</v>
      </c>
      <c r="E224" s="5" t="s">
        <v>510</v>
      </c>
      <c r="F224" s="5" t="s">
        <v>1319</v>
      </c>
      <c r="G224" s="5" t="s">
        <v>431</v>
      </c>
      <c r="H224" s="5"/>
      <c r="I224" s="5"/>
      <c r="J224" s="5"/>
      <c r="K224" s="5"/>
      <c r="L224" s="5" t="s">
        <v>1440</v>
      </c>
      <c r="M224" s="5" t="s">
        <v>1441</v>
      </c>
      <c r="N224" s="5" t="s">
        <v>1442</v>
      </c>
      <c r="O224" s="6" t="s">
        <v>1443</v>
      </c>
    </row>
    <row r="225" customFormat="false" ht="22.35" hidden="false" customHeight="false" outlineLevel="0" collapsed="false">
      <c r="A225" s="5" t="s">
        <v>34</v>
      </c>
      <c r="B225" s="6" t="s">
        <v>1444</v>
      </c>
      <c r="C225" s="5" t="s">
        <v>1445</v>
      </c>
      <c r="D225" s="5" t="s">
        <v>509</v>
      </c>
      <c r="E225" s="5" t="s">
        <v>429</v>
      </c>
      <c r="F225" s="5" t="s">
        <v>1319</v>
      </c>
      <c r="G225" s="5" t="s">
        <v>431</v>
      </c>
      <c r="H225" s="5"/>
      <c r="I225" s="5"/>
      <c r="J225" s="5"/>
      <c r="K225" s="5"/>
      <c r="L225" s="5"/>
      <c r="M225" s="5" t="s">
        <v>1445</v>
      </c>
      <c r="N225" s="5" t="s">
        <v>1446</v>
      </c>
      <c r="O225" s="6" t="s">
        <v>1447</v>
      </c>
    </row>
    <row r="226" customFormat="false" ht="22.35" hidden="false" customHeight="false" outlineLevel="0" collapsed="false">
      <c r="A226" s="5" t="s">
        <v>34</v>
      </c>
      <c r="B226" s="6" t="s">
        <v>1448</v>
      </c>
      <c r="C226" s="5" t="s">
        <v>1449</v>
      </c>
      <c r="D226" s="5" t="s">
        <v>437</v>
      </c>
      <c r="E226" s="5" t="s">
        <v>510</v>
      </c>
      <c r="F226" s="5" t="s">
        <v>1319</v>
      </c>
      <c r="G226" s="5" t="s">
        <v>431</v>
      </c>
      <c r="H226" s="5"/>
      <c r="I226" s="5"/>
      <c r="J226" s="5"/>
      <c r="K226" s="5"/>
      <c r="L226" s="5"/>
      <c r="M226" s="5" t="s">
        <v>1450</v>
      </c>
      <c r="N226" s="5" t="s">
        <v>1451</v>
      </c>
      <c r="O226" s="6" t="s">
        <v>1452</v>
      </c>
    </row>
    <row r="227" customFormat="false" ht="23.85" hidden="false" customHeight="false" outlineLevel="0" collapsed="false">
      <c r="A227" s="5" t="s">
        <v>34</v>
      </c>
      <c r="B227" s="6" t="s">
        <v>159</v>
      </c>
      <c r="C227" s="5" t="s">
        <v>1453</v>
      </c>
      <c r="D227" s="5" t="s">
        <v>566</v>
      </c>
      <c r="E227" s="5" t="s">
        <v>510</v>
      </c>
      <c r="F227" s="5" t="s">
        <v>1319</v>
      </c>
      <c r="G227" s="5" t="s">
        <v>431</v>
      </c>
      <c r="H227" s="5"/>
      <c r="I227" s="5"/>
      <c r="J227" s="5"/>
      <c r="K227" s="5"/>
      <c r="L227" s="5" t="s">
        <v>1454</v>
      </c>
      <c r="M227" s="5" t="s">
        <v>1455</v>
      </c>
      <c r="N227" s="5" t="s">
        <v>1456</v>
      </c>
      <c r="O227" s="6" t="s">
        <v>160</v>
      </c>
    </row>
    <row r="228" customFormat="false" ht="22.35" hidden="false" customHeight="false" outlineLevel="0" collapsed="false">
      <c r="A228" s="5" t="s">
        <v>34</v>
      </c>
      <c r="B228" s="6" t="s">
        <v>1457</v>
      </c>
      <c r="C228" s="5" t="s">
        <v>1458</v>
      </c>
      <c r="D228" s="5" t="s">
        <v>509</v>
      </c>
      <c r="E228" s="5" t="s">
        <v>429</v>
      </c>
      <c r="F228" s="5" t="s">
        <v>1319</v>
      </c>
      <c r="G228" s="5" t="s">
        <v>431</v>
      </c>
      <c r="H228" s="5"/>
      <c r="I228" s="5"/>
      <c r="J228" s="5"/>
      <c r="K228" s="5"/>
      <c r="L228" s="5"/>
      <c r="M228" s="5" t="s">
        <v>1459</v>
      </c>
      <c r="N228" s="5" t="s">
        <v>1460</v>
      </c>
      <c r="O228" s="6" t="s">
        <v>1461</v>
      </c>
    </row>
    <row r="229" customFormat="false" ht="15" hidden="false" customHeight="false" outlineLevel="0" collapsed="false">
      <c r="A229" s="5" t="s">
        <v>34</v>
      </c>
      <c r="B229" s="6" t="s">
        <v>1462</v>
      </c>
      <c r="C229" s="5" t="s">
        <v>1463</v>
      </c>
      <c r="D229" s="5" t="s">
        <v>509</v>
      </c>
      <c r="E229" s="5" t="s">
        <v>510</v>
      </c>
      <c r="F229" s="5" t="s">
        <v>1319</v>
      </c>
      <c r="G229" s="5" t="s">
        <v>431</v>
      </c>
      <c r="H229" s="5"/>
      <c r="I229" s="5"/>
      <c r="J229" s="5"/>
      <c r="K229" s="5"/>
      <c r="L229" s="5"/>
      <c r="M229" s="5" t="s">
        <v>1464</v>
      </c>
      <c r="N229" s="5" t="s">
        <v>1465</v>
      </c>
      <c r="O229" s="6" t="s">
        <v>1466</v>
      </c>
    </row>
    <row r="230" customFormat="false" ht="22.35" hidden="false" customHeight="false" outlineLevel="0" collapsed="false">
      <c r="A230" s="5" t="s">
        <v>34</v>
      </c>
      <c r="B230" s="6" t="s">
        <v>1467</v>
      </c>
      <c r="C230" s="5" t="s">
        <v>1468</v>
      </c>
      <c r="D230" s="5" t="s">
        <v>509</v>
      </c>
      <c r="E230" s="5" t="s">
        <v>429</v>
      </c>
      <c r="F230" s="5" t="s">
        <v>1319</v>
      </c>
      <c r="G230" s="5" t="s">
        <v>431</v>
      </c>
      <c r="H230" s="5"/>
      <c r="I230" s="5"/>
      <c r="J230" s="5"/>
      <c r="K230" s="5"/>
      <c r="L230" s="5"/>
      <c r="M230" s="5" t="s">
        <v>1469</v>
      </c>
      <c r="N230" s="5" t="s">
        <v>1470</v>
      </c>
      <c r="O230" s="6" t="s">
        <v>1471</v>
      </c>
    </row>
    <row r="231" customFormat="false" ht="22.35" hidden="false" customHeight="false" outlineLevel="0" collapsed="false">
      <c r="A231" s="5" t="s">
        <v>34</v>
      </c>
      <c r="B231" s="6" t="s">
        <v>1472</v>
      </c>
      <c r="C231" s="5" t="s">
        <v>1473</v>
      </c>
      <c r="D231" s="5" t="s">
        <v>509</v>
      </c>
      <c r="E231" s="5" t="s">
        <v>429</v>
      </c>
      <c r="F231" s="5" t="s">
        <v>1319</v>
      </c>
      <c r="G231" s="5" t="s">
        <v>431</v>
      </c>
      <c r="H231" s="5"/>
      <c r="I231" s="5"/>
      <c r="J231" s="5"/>
      <c r="K231" s="5"/>
      <c r="L231" s="5"/>
      <c r="M231" s="5" t="s">
        <v>1474</v>
      </c>
      <c r="N231" s="5" t="s">
        <v>1475</v>
      </c>
      <c r="O231" s="6" t="s">
        <v>1476</v>
      </c>
    </row>
    <row r="232" customFormat="false" ht="32.8" hidden="false" customHeight="false" outlineLevel="0" collapsed="false">
      <c r="A232" s="5" t="s">
        <v>34</v>
      </c>
      <c r="B232" s="6" t="s">
        <v>1477</v>
      </c>
      <c r="C232" s="5" t="s">
        <v>1478</v>
      </c>
      <c r="D232" s="5" t="s">
        <v>509</v>
      </c>
      <c r="E232" s="5" t="s">
        <v>429</v>
      </c>
      <c r="F232" s="5" t="s">
        <v>1319</v>
      </c>
      <c r="G232" s="5" t="s">
        <v>431</v>
      </c>
      <c r="H232" s="5"/>
      <c r="I232" s="5"/>
      <c r="J232" s="5"/>
      <c r="K232" s="5" t="s">
        <v>1479</v>
      </c>
      <c r="L232" s="5"/>
      <c r="M232" s="5" t="s">
        <v>1478</v>
      </c>
      <c r="N232" s="5" t="s">
        <v>1480</v>
      </c>
      <c r="O232" s="6" t="s">
        <v>1481</v>
      </c>
    </row>
    <row r="233" customFormat="false" ht="22.35" hidden="false" customHeight="false" outlineLevel="0" collapsed="false">
      <c r="A233" s="5" t="s">
        <v>34</v>
      </c>
      <c r="B233" s="6" t="s">
        <v>1482</v>
      </c>
      <c r="C233" s="5" t="s">
        <v>1483</v>
      </c>
      <c r="D233" s="5" t="s">
        <v>509</v>
      </c>
      <c r="E233" s="5" t="s">
        <v>429</v>
      </c>
      <c r="F233" s="5" t="s">
        <v>1319</v>
      </c>
      <c r="G233" s="5" t="s">
        <v>431</v>
      </c>
      <c r="H233" s="5"/>
      <c r="I233" s="5"/>
      <c r="J233" s="5"/>
      <c r="K233" s="5" t="s">
        <v>1484</v>
      </c>
      <c r="L233" s="5"/>
      <c r="M233" s="5" t="s">
        <v>1485</v>
      </c>
      <c r="N233" s="5" t="s">
        <v>1486</v>
      </c>
      <c r="O233" s="6" t="s">
        <v>1487</v>
      </c>
    </row>
    <row r="234" customFormat="false" ht="15" hidden="false" customHeight="false" outlineLevel="0" collapsed="false">
      <c r="A234" s="5" t="s">
        <v>34</v>
      </c>
      <c r="B234" s="6" t="s">
        <v>1488</v>
      </c>
      <c r="C234" s="5" t="s">
        <v>1489</v>
      </c>
      <c r="D234" s="5" t="s">
        <v>509</v>
      </c>
      <c r="E234" s="5" t="s">
        <v>510</v>
      </c>
      <c r="F234" s="5" t="s">
        <v>1319</v>
      </c>
      <c r="G234" s="5" t="s">
        <v>431</v>
      </c>
      <c r="H234" s="5"/>
      <c r="I234" s="5"/>
      <c r="J234" s="5"/>
      <c r="K234" s="5"/>
      <c r="L234" s="5"/>
      <c r="M234" s="5" t="s">
        <v>1490</v>
      </c>
      <c r="N234" s="5" t="s">
        <v>1491</v>
      </c>
      <c r="O234" s="6" t="s">
        <v>1492</v>
      </c>
    </row>
    <row r="235" customFormat="false" ht="22.35" hidden="false" customHeight="false" outlineLevel="0" collapsed="false">
      <c r="A235" s="5" t="s">
        <v>34</v>
      </c>
      <c r="B235" s="6" t="s">
        <v>1493</v>
      </c>
      <c r="C235" s="5" t="s">
        <v>1494</v>
      </c>
      <c r="D235" s="5" t="s">
        <v>437</v>
      </c>
      <c r="E235" s="5" t="s">
        <v>429</v>
      </c>
      <c r="F235" s="5" t="s">
        <v>1495</v>
      </c>
      <c r="G235" s="5" t="s">
        <v>1496</v>
      </c>
      <c r="H235" s="5"/>
      <c r="I235" s="5"/>
      <c r="J235" s="5"/>
      <c r="K235" s="5"/>
      <c r="L235" s="5"/>
      <c r="M235" s="5" t="s">
        <v>1497</v>
      </c>
      <c r="N235" s="5" t="s">
        <v>1498</v>
      </c>
      <c r="O235" s="6" t="s">
        <v>1499</v>
      </c>
    </row>
    <row r="236" customFormat="false" ht="281.3" hidden="false" customHeight="false" outlineLevel="0" collapsed="false">
      <c r="A236" s="5" t="s">
        <v>34</v>
      </c>
      <c r="B236" s="6" t="s">
        <v>1500</v>
      </c>
      <c r="C236" s="5" t="s">
        <v>1501</v>
      </c>
      <c r="D236" s="5" t="s">
        <v>566</v>
      </c>
      <c r="E236" s="5" t="s">
        <v>510</v>
      </c>
      <c r="F236" s="5" t="s">
        <v>1495</v>
      </c>
      <c r="G236" s="5" t="s">
        <v>431</v>
      </c>
      <c r="H236" s="5"/>
      <c r="I236" s="5"/>
      <c r="J236" s="5"/>
      <c r="K236" s="5" t="s">
        <v>1502</v>
      </c>
      <c r="L236" s="5" t="s">
        <v>1503</v>
      </c>
      <c r="M236" s="5" t="s">
        <v>1504</v>
      </c>
      <c r="N236" s="5" t="s">
        <v>1505</v>
      </c>
      <c r="O236" s="6" t="s">
        <v>1506</v>
      </c>
    </row>
    <row r="237" customFormat="false" ht="22.35" hidden="false" customHeight="false" outlineLevel="0" collapsed="false">
      <c r="A237" s="5" t="s">
        <v>34</v>
      </c>
      <c r="B237" s="6" t="s">
        <v>1507</v>
      </c>
      <c r="C237" s="5" t="s">
        <v>1508</v>
      </c>
      <c r="D237" s="5" t="s">
        <v>437</v>
      </c>
      <c r="E237" s="5" t="s">
        <v>429</v>
      </c>
      <c r="F237" s="5" t="s">
        <v>1495</v>
      </c>
      <c r="G237" s="5" t="s">
        <v>1496</v>
      </c>
      <c r="H237" s="5"/>
      <c r="I237" s="5"/>
      <c r="J237" s="5"/>
      <c r="K237" s="5" t="s">
        <v>1509</v>
      </c>
      <c r="L237" s="5"/>
      <c r="M237" s="5" t="s">
        <v>1510</v>
      </c>
      <c r="N237" s="5" t="s">
        <v>1511</v>
      </c>
      <c r="O237" s="6" t="s">
        <v>1512</v>
      </c>
    </row>
    <row r="238" customFormat="false" ht="22.35" hidden="false" customHeight="false" outlineLevel="0" collapsed="false">
      <c r="A238" s="5" t="s">
        <v>34</v>
      </c>
      <c r="B238" s="6" t="s">
        <v>1513</v>
      </c>
      <c r="C238" s="5" t="s">
        <v>1514</v>
      </c>
      <c r="D238" s="5" t="s">
        <v>437</v>
      </c>
      <c r="E238" s="5" t="s">
        <v>429</v>
      </c>
      <c r="F238" s="5" t="s">
        <v>1495</v>
      </c>
      <c r="G238" s="5" t="s">
        <v>1496</v>
      </c>
      <c r="H238" s="5"/>
      <c r="I238" s="5"/>
      <c r="J238" s="5"/>
      <c r="K238" s="5"/>
      <c r="L238" s="5"/>
      <c r="M238" s="5" t="s">
        <v>1515</v>
      </c>
      <c r="N238" s="5" t="s">
        <v>1516</v>
      </c>
      <c r="O238" s="6" t="s">
        <v>1517</v>
      </c>
    </row>
    <row r="239" customFormat="false" ht="22.35" hidden="false" customHeight="false" outlineLevel="0" collapsed="false">
      <c r="A239" s="5" t="s">
        <v>34</v>
      </c>
      <c r="B239" s="6" t="s">
        <v>1518</v>
      </c>
      <c r="C239" s="5" t="s">
        <v>1519</v>
      </c>
      <c r="D239" s="5" t="s">
        <v>437</v>
      </c>
      <c r="E239" s="5" t="s">
        <v>429</v>
      </c>
      <c r="F239" s="5" t="s">
        <v>1495</v>
      </c>
      <c r="G239" s="5" t="s">
        <v>1496</v>
      </c>
      <c r="H239" s="5"/>
      <c r="I239" s="5"/>
      <c r="J239" s="5"/>
      <c r="K239" s="5"/>
      <c r="L239" s="5"/>
      <c r="M239" s="5" t="s">
        <v>1520</v>
      </c>
      <c r="N239" s="5" t="s">
        <v>1521</v>
      </c>
      <c r="O239" s="6" t="s">
        <v>1522</v>
      </c>
    </row>
    <row r="240" customFormat="false" ht="22.35" hidden="false" customHeight="false" outlineLevel="0" collapsed="false">
      <c r="A240" s="5" t="s">
        <v>34</v>
      </c>
      <c r="B240" s="6" t="s">
        <v>1523</v>
      </c>
      <c r="C240" s="5" t="s">
        <v>1524</v>
      </c>
      <c r="D240" s="5" t="s">
        <v>437</v>
      </c>
      <c r="E240" s="5" t="s">
        <v>429</v>
      </c>
      <c r="F240" s="5" t="s">
        <v>1495</v>
      </c>
      <c r="G240" s="5" t="s">
        <v>1496</v>
      </c>
      <c r="H240" s="5"/>
      <c r="I240" s="5"/>
      <c r="J240" s="5"/>
      <c r="K240" s="5"/>
      <c r="L240" s="5"/>
      <c r="M240" s="5" t="s">
        <v>1525</v>
      </c>
      <c r="N240" s="5" t="s">
        <v>1526</v>
      </c>
      <c r="O240" s="6" t="s">
        <v>1527</v>
      </c>
    </row>
    <row r="241" customFormat="false" ht="22.35" hidden="false" customHeight="false" outlineLevel="0" collapsed="false">
      <c r="A241" s="5" t="s">
        <v>34</v>
      </c>
      <c r="B241" s="6" t="s">
        <v>1528</v>
      </c>
      <c r="C241" s="5" t="s">
        <v>1529</v>
      </c>
      <c r="D241" s="5" t="s">
        <v>437</v>
      </c>
      <c r="E241" s="5" t="s">
        <v>429</v>
      </c>
      <c r="F241" s="5" t="s">
        <v>1495</v>
      </c>
      <c r="G241" s="5" t="s">
        <v>1496</v>
      </c>
      <c r="H241" s="5"/>
      <c r="I241" s="5"/>
      <c r="J241" s="5"/>
      <c r="K241" s="5"/>
      <c r="L241" s="5"/>
      <c r="M241" s="5" t="s">
        <v>1530</v>
      </c>
      <c r="N241" s="5" t="s">
        <v>1531</v>
      </c>
      <c r="O241" s="6" t="s">
        <v>1532</v>
      </c>
    </row>
    <row r="242" customFormat="false" ht="22.35" hidden="false" customHeight="false" outlineLevel="0" collapsed="false">
      <c r="A242" s="5" t="s">
        <v>34</v>
      </c>
      <c r="B242" s="6" t="s">
        <v>1533</v>
      </c>
      <c r="C242" s="5" t="s">
        <v>1534</v>
      </c>
      <c r="D242" s="5" t="s">
        <v>437</v>
      </c>
      <c r="E242" s="5" t="s">
        <v>429</v>
      </c>
      <c r="F242" s="5" t="s">
        <v>1495</v>
      </c>
      <c r="G242" s="5" t="s">
        <v>1496</v>
      </c>
      <c r="H242" s="5"/>
      <c r="I242" s="5"/>
      <c r="J242" s="5"/>
      <c r="K242" s="5"/>
      <c r="L242" s="5"/>
      <c r="M242" s="5" t="s">
        <v>1535</v>
      </c>
      <c r="N242" s="5" t="s">
        <v>1536</v>
      </c>
      <c r="O242" s="6" t="s">
        <v>1537</v>
      </c>
    </row>
    <row r="243" customFormat="false" ht="22.35" hidden="false" customHeight="false" outlineLevel="0" collapsed="false">
      <c r="A243" s="5" t="s">
        <v>34</v>
      </c>
      <c r="B243" s="6" t="s">
        <v>1538</v>
      </c>
      <c r="C243" s="5" t="s">
        <v>1539</v>
      </c>
      <c r="D243" s="5" t="s">
        <v>428</v>
      </c>
      <c r="E243" s="5" t="s">
        <v>429</v>
      </c>
      <c r="F243" s="5" t="s">
        <v>1495</v>
      </c>
      <c r="G243" s="5" t="s">
        <v>1496</v>
      </c>
      <c r="H243" s="5"/>
      <c r="I243" s="5"/>
      <c r="J243" s="5"/>
      <c r="K243" s="5"/>
      <c r="L243" s="5"/>
      <c r="M243" s="5" t="s">
        <v>1540</v>
      </c>
      <c r="N243" s="5" t="s">
        <v>1541</v>
      </c>
      <c r="O243" s="6" t="s">
        <v>1542</v>
      </c>
    </row>
    <row r="244" customFormat="false" ht="23.85" hidden="false" customHeight="false" outlineLevel="0" collapsed="false">
      <c r="A244" s="5" t="s">
        <v>34</v>
      </c>
      <c r="B244" s="6" t="s">
        <v>1543</v>
      </c>
      <c r="C244" s="5" t="s">
        <v>1544</v>
      </c>
      <c r="D244" s="5" t="s">
        <v>437</v>
      </c>
      <c r="E244" s="5" t="s">
        <v>429</v>
      </c>
      <c r="F244" s="5" t="s">
        <v>1495</v>
      </c>
      <c r="G244" s="5" t="s">
        <v>1496</v>
      </c>
      <c r="H244" s="5"/>
      <c r="I244" s="5"/>
      <c r="J244" s="5"/>
      <c r="K244" s="5"/>
      <c r="L244" s="5"/>
      <c r="M244" s="5" t="s">
        <v>1545</v>
      </c>
      <c r="N244" s="5" t="s">
        <v>1546</v>
      </c>
      <c r="O244" s="6" t="s">
        <v>1547</v>
      </c>
    </row>
    <row r="245" customFormat="false" ht="281.3" hidden="false" customHeight="false" outlineLevel="0" collapsed="false">
      <c r="A245" s="5" t="s">
        <v>34</v>
      </c>
      <c r="B245" s="6" t="s">
        <v>165</v>
      </c>
      <c r="C245" s="5" t="s">
        <v>1548</v>
      </c>
      <c r="D245" s="5" t="s">
        <v>566</v>
      </c>
      <c r="E245" s="5" t="s">
        <v>510</v>
      </c>
      <c r="F245" s="5" t="s">
        <v>1495</v>
      </c>
      <c r="G245" s="5" t="s">
        <v>431</v>
      </c>
      <c r="H245" s="5"/>
      <c r="I245" s="5"/>
      <c r="J245" s="5"/>
      <c r="K245" s="5" t="s">
        <v>1549</v>
      </c>
      <c r="L245" s="5" t="s">
        <v>1503</v>
      </c>
      <c r="M245" s="5" t="s">
        <v>1550</v>
      </c>
      <c r="N245" s="5" t="s">
        <v>1551</v>
      </c>
      <c r="O245" s="6" t="s">
        <v>1552</v>
      </c>
    </row>
    <row r="246" customFormat="false" ht="79.85" hidden="false" customHeight="false" outlineLevel="0" collapsed="false">
      <c r="A246" s="5" t="s">
        <v>34</v>
      </c>
      <c r="B246" s="6" t="s">
        <v>174</v>
      </c>
      <c r="C246" s="5" t="s">
        <v>1553</v>
      </c>
      <c r="D246" s="5" t="s">
        <v>566</v>
      </c>
      <c r="E246" s="5" t="s">
        <v>510</v>
      </c>
      <c r="F246" s="5" t="s">
        <v>1495</v>
      </c>
      <c r="G246" s="5" t="s">
        <v>431</v>
      </c>
      <c r="H246" s="5"/>
      <c r="I246" s="5"/>
      <c r="J246" s="5"/>
      <c r="K246" s="5" t="s">
        <v>1554</v>
      </c>
      <c r="L246" s="5" t="s">
        <v>1555</v>
      </c>
      <c r="M246" s="5" t="s">
        <v>1556</v>
      </c>
      <c r="N246" s="5" t="s">
        <v>1557</v>
      </c>
      <c r="O246" s="6" t="s">
        <v>177</v>
      </c>
    </row>
    <row r="247" customFormat="false" ht="15" hidden="false" customHeight="false" outlineLevel="0" collapsed="false">
      <c r="A247" s="5" t="s">
        <v>34</v>
      </c>
      <c r="B247" s="6" t="s">
        <v>1558</v>
      </c>
      <c r="C247" s="5" t="s">
        <v>1559</v>
      </c>
      <c r="D247" s="5" t="s">
        <v>437</v>
      </c>
      <c r="E247" s="5" t="s">
        <v>510</v>
      </c>
      <c r="F247" s="5" t="s">
        <v>1495</v>
      </c>
      <c r="G247" s="5" t="s">
        <v>1496</v>
      </c>
      <c r="H247" s="5"/>
      <c r="I247" s="5"/>
      <c r="J247" s="5"/>
      <c r="K247" s="5"/>
      <c r="L247" s="5"/>
      <c r="M247" s="5" t="s">
        <v>1558</v>
      </c>
      <c r="N247" s="5" t="s">
        <v>1560</v>
      </c>
      <c r="O247" s="6" t="s">
        <v>1561</v>
      </c>
    </row>
    <row r="248" customFormat="false" ht="22.35" hidden="false" customHeight="false" outlineLevel="0" collapsed="false">
      <c r="A248" s="7" t="s">
        <v>34</v>
      </c>
      <c r="B248" s="8" t="s">
        <v>1562</v>
      </c>
      <c r="C248" s="7" t="s">
        <v>1562</v>
      </c>
      <c r="D248" s="7" t="s">
        <v>437</v>
      </c>
      <c r="E248" s="7" t="s">
        <v>429</v>
      </c>
      <c r="F248" s="7" t="s">
        <v>1563</v>
      </c>
      <c r="G248" s="7" t="s">
        <v>753</v>
      </c>
      <c r="H248" s="7"/>
      <c r="I248" s="7"/>
      <c r="J248" s="7"/>
      <c r="K248" s="7"/>
      <c r="L248" s="7"/>
      <c r="M248" s="7" t="s">
        <v>1562</v>
      </c>
      <c r="N248" s="7" t="s">
        <v>1564</v>
      </c>
      <c r="O248" s="8" t="s">
        <v>1565</v>
      </c>
    </row>
    <row r="249" customFormat="false" ht="22.35" hidden="false" customHeight="false" outlineLevel="0" collapsed="false">
      <c r="A249" s="5" t="s">
        <v>34</v>
      </c>
      <c r="B249" s="6" t="s">
        <v>284</v>
      </c>
      <c r="C249" s="5" t="s">
        <v>1566</v>
      </c>
      <c r="D249" s="5" t="s">
        <v>509</v>
      </c>
      <c r="E249" s="5" t="s">
        <v>510</v>
      </c>
      <c r="F249" s="5" t="s">
        <v>1563</v>
      </c>
      <c r="G249" s="5" t="s">
        <v>431</v>
      </c>
      <c r="H249" s="5"/>
      <c r="I249" s="5"/>
      <c r="J249" s="5"/>
      <c r="K249" s="5" t="s">
        <v>1567</v>
      </c>
      <c r="L249" s="5"/>
      <c r="M249" s="5" t="s">
        <v>1568</v>
      </c>
      <c r="N249" s="5" t="s">
        <v>1569</v>
      </c>
      <c r="O249" s="6" t="s">
        <v>1570</v>
      </c>
    </row>
    <row r="250" customFormat="false" ht="22.35" hidden="false" customHeight="false" outlineLevel="0" collapsed="false">
      <c r="A250" s="7" t="s">
        <v>34</v>
      </c>
      <c r="B250" s="8" t="s">
        <v>1571</v>
      </c>
      <c r="C250" s="7" t="s">
        <v>1572</v>
      </c>
      <c r="D250" s="7" t="s">
        <v>437</v>
      </c>
      <c r="E250" s="7" t="s">
        <v>510</v>
      </c>
      <c r="F250" s="7" t="s">
        <v>1563</v>
      </c>
      <c r="G250" s="7" t="s">
        <v>753</v>
      </c>
      <c r="H250" s="7"/>
      <c r="I250" s="7"/>
      <c r="J250" s="7"/>
      <c r="K250" s="7"/>
      <c r="L250" s="7"/>
      <c r="M250" s="7" t="s">
        <v>1573</v>
      </c>
      <c r="N250" s="7" t="s">
        <v>1574</v>
      </c>
      <c r="O250" s="8" t="s">
        <v>1575</v>
      </c>
    </row>
    <row r="251" customFormat="false" ht="471.6" hidden="false" customHeight="false" outlineLevel="0" collapsed="false">
      <c r="A251" s="5" t="s">
        <v>34</v>
      </c>
      <c r="B251" s="6" t="s">
        <v>1576</v>
      </c>
      <c r="C251" s="5" t="s">
        <v>1577</v>
      </c>
      <c r="D251" s="5" t="s">
        <v>566</v>
      </c>
      <c r="E251" s="5" t="s">
        <v>510</v>
      </c>
      <c r="F251" s="5" t="s">
        <v>1563</v>
      </c>
      <c r="G251" s="5" t="s">
        <v>431</v>
      </c>
      <c r="H251" s="5"/>
      <c r="I251" s="5"/>
      <c r="J251" s="5"/>
      <c r="K251" s="5" t="s">
        <v>1578</v>
      </c>
      <c r="L251" s="5" t="s">
        <v>1579</v>
      </c>
      <c r="M251" s="5" t="s">
        <v>1580</v>
      </c>
      <c r="N251" s="5" t="s">
        <v>1581</v>
      </c>
      <c r="O251" s="6" t="s">
        <v>1582</v>
      </c>
    </row>
    <row r="252" customFormat="false" ht="22.35" hidden="false" customHeight="false" outlineLevel="0" collapsed="false">
      <c r="A252" s="5" t="s">
        <v>34</v>
      </c>
      <c r="B252" s="6" t="s">
        <v>1583</v>
      </c>
      <c r="C252" s="5" t="s">
        <v>1584</v>
      </c>
      <c r="D252" s="5" t="s">
        <v>509</v>
      </c>
      <c r="E252" s="5" t="s">
        <v>429</v>
      </c>
      <c r="F252" s="5" t="s">
        <v>1563</v>
      </c>
      <c r="G252" s="5" t="s">
        <v>431</v>
      </c>
      <c r="H252" s="5"/>
      <c r="I252" s="5"/>
      <c r="J252" s="5"/>
      <c r="K252" s="5" t="s">
        <v>1585</v>
      </c>
      <c r="L252" s="5"/>
      <c r="M252" s="5" t="s">
        <v>1586</v>
      </c>
      <c r="N252" s="5" t="s">
        <v>1587</v>
      </c>
      <c r="O252" s="6" t="s">
        <v>1588</v>
      </c>
    </row>
    <row r="253" customFormat="false" ht="22.35" hidden="false" customHeight="false" outlineLevel="0" collapsed="false">
      <c r="A253" s="5" t="s">
        <v>34</v>
      </c>
      <c r="B253" s="6" t="s">
        <v>1589</v>
      </c>
      <c r="C253" s="5" t="s">
        <v>1590</v>
      </c>
      <c r="D253" s="5" t="s">
        <v>509</v>
      </c>
      <c r="E253" s="5" t="s">
        <v>510</v>
      </c>
      <c r="F253" s="5" t="s">
        <v>1563</v>
      </c>
      <c r="G253" s="5" t="s">
        <v>431</v>
      </c>
      <c r="H253" s="5"/>
      <c r="I253" s="5"/>
      <c r="J253" s="5"/>
      <c r="K253" s="5" t="s">
        <v>1591</v>
      </c>
      <c r="L253" s="5"/>
      <c r="M253" s="5" t="s">
        <v>1592</v>
      </c>
      <c r="N253" s="5" t="s">
        <v>1593</v>
      </c>
      <c r="O253" s="6" t="s">
        <v>1594</v>
      </c>
    </row>
    <row r="254" customFormat="false" ht="32.8" hidden="false" customHeight="false" outlineLevel="0" collapsed="false">
      <c r="A254" s="5" t="s">
        <v>34</v>
      </c>
      <c r="B254" s="6" t="s">
        <v>1595</v>
      </c>
      <c r="C254" s="5" t="s">
        <v>1596</v>
      </c>
      <c r="D254" s="5" t="s">
        <v>509</v>
      </c>
      <c r="E254" s="5" t="s">
        <v>429</v>
      </c>
      <c r="F254" s="5" t="s">
        <v>1563</v>
      </c>
      <c r="G254" s="5" t="s">
        <v>431</v>
      </c>
      <c r="H254" s="5"/>
      <c r="I254" s="5"/>
      <c r="J254" s="5"/>
      <c r="K254" s="5"/>
      <c r="L254" s="5"/>
      <c r="M254" s="5" t="s">
        <v>1597</v>
      </c>
      <c r="N254" s="5" t="s">
        <v>1598</v>
      </c>
      <c r="O254" s="6" t="s">
        <v>1599</v>
      </c>
    </row>
    <row r="255" customFormat="false" ht="22.35" hidden="false" customHeight="false" outlineLevel="0" collapsed="false">
      <c r="A255" s="5" t="s">
        <v>34</v>
      </c>
      <c r="B255" s="6" t="s">
        <v>1600</v>
      </c>
      <c r="C255" s="5" t="s">
        <v>1601</v>
      </c>
      <c r="D255" s="5" t="s">
        <v>509</v>
      </c>
      <c r="E255" s="5" t="s">
        <v>429</v>
      </c>
      <c r="F255" s="5" t="s">
        <v>1563</v>
      </c>
      <c r="G255" s="5" t="s">
        <v>431</v>
      </c>
      <c r="H255" s="5"/>
      <c r="I255" s="5"/>
      <c r="J255" s="5"/>
      <c r="K255" s="5" t="s">
        <v>1602</v>
      </c>
      <c r="L255" s="5"/>
      <c r="M255" s="5" t="s">
        <v>1603</v>
      </c>
      <c r="N255" s="5" t="s">
        <v>1604</v>
      </c>
      <c r="O255" s="6" t="s">
        <v>1605</v>
      </c>
    </row>
    <row r="256" customFormat="false" ht="15" hidden="false" customHeight="false" outlineLevel="0" collapsed="false">
      <c r="A256" s="5" t="s">
        <v>34</v>
      </c>
      <c r="B256" s="6" t="s">
        <v>1606</v>
      </c>
      <c r="C256" s="5" t="s">
        <v>1607</v>
      </c>
      <c r="D256" s="5" t="s">
        <v>1608</v>
      </c>
      <c r="E256" s="5" t="s">
        <v>510</v>
      </c>
      <c r="F256" s="5" t="s">
        <v>1563</v>
      </c>
      <c r="G256" s="5" t="s">
        <v>431</v>
      </c>
      <c r="H256" s="5"/>
      <c r="I256" s="5"/>
      <c r="J256" s="5"/>
      <c r="K256" s="5" t="s">
        <v>1609</v>
      </c>
      <c r="L256" s="5" t="s">
        <v>1610</v>
      </c>
      <c r="M256" s="5" t="s">
        <v>1611</v>
      </c>
      <c r="N256" s="5" t="s">
        <v>1612</v>
      </c>
      <c r="O256" s="6" t="s">
        <v>1613</v>
      </c>
    </row>
    <row r="257" customFormat="false" ht="23.85" hidden="false" customHeight="false" outlineLevel="0" collapsed="false">
      <c r="A257" s="5" t="s">
        <v>34</v>
      </c>
      <c r="B257" s="6" t="s">
        <v>1614</v>
      </c>
      <c r="C257" s="5" t="s">
        <v>1615</v>
      </c>
      <c r="D257" s="5" t="s">
        <v>453</v>
      </c>
      <c r="E257" s="5" t="s">
        <v>429</v>
      </c>
      <c r="F257" s="5" t="s">
        <v>1563</v>
      </c>
      <c r="G257" s="5" t="s">
        <v>431</v>
      </c>
      <c r="H257" s="5"/>
      <c r="I257" s="5"/>
      <c r="J257" s="5"/>
      <c r="K257" s="5" t="s">
        <v>1616</v>
      </c>
      <c r="L257" s="5"/>
      <c r="M257" s="5" t="s">
        <v>1617</v>
      </c>
      <c r="N257" s="5" t="s">
        <v>1618</v>
      </c>
      <c r="O257" s="6" t="s">
        <v>1619</v>
      </c>
    </row>
    <row r="258" customFormat="false" ht="22.35" hidden="false" customHeight="false" outlineLevel="0" collapsed="false">
      <c r="A258" s="5" t="s">
        <v>34</v>
      </c>
      <c r="B258" s="6" t="s">
        <v>1620</v>
      </c>
      <c r="C258" s="5" t="s">
        <v>1621</v>
      </c>
      <c r="D258" s="5" t="s">
        <v>1608</v>
      </c>
      <c r="E258" s="5" t="s">
        <v>510</v>
      </c>
      <c r="F258" s="5" t="s">
        <v>1563</v>
      </c>
      <c r="G258" s="5" t="s">
        <v>431</v>
      </c>
      <c r="H258" s="5"/>
      <c r="I258" s="5"/>
      <c r="J258" s="5"/>
      <c r="K258" s="5"/>
      <c r="L258" s="5" t="s">
        <v>1610</v>
      </c>
      <c r="M258" s="5" t="s">
        <v>1622</v>
      </c>
      <c r="N258" s="5" t="s">
        <v>1623</v>
      </c>
      <c r="O258" s="6" t="s">
        <v>1624</v>
      </c>
    </row>
    <row r="259" customFormat="false" ht="22.35" hidden="false" customHeight="false" outlineLevel="0" collapsed="false">
      <c r="A259" s="5" t="s">
        <v>34</v>
      </c>
      <c r="B259" s="6" t="s">
        <v>1625</v>
      </c>
      <c r="C259" s="5" t="s">
        <v>1626</v>
      </c>
      <c r="D259" s="5" t="s">
        <v>1608</v>
      </c>
      <c r="E259" s="5" t="s">
        <v>510</v>
      </c>
      <c r="F259" s="5" t="s">
        <v>1563</v>
      </c>
      <c r="G259" s="5" t="s">
        <v>431</v>
      </c>
      <c r="H259" s="5"/>
      <c r="I259" s="5"/>
      <c r="J259" s="5"/>
      <c r="K259" s="5"/>
      <c r="L259" s="5" t="s">
        <v>1610</v>
      </c>
      <c r="M259" s="5" t="s">
        <v>1627</v>
      </c>
      <c r="N259" s="5" t="s">
        <v>1628</v>
      </c>
      <c r="O259" s="6" t="s">
        <v>111</v>
      </c>
    </row>
    <row r="260" customFormat="false" ht="23.85" hidden="false" customHeight="false" outlineLevel="0" collapsed="false">
      <c r="A260" s="5" t="s">
        <v>34</v>
      </c>
      <c r="B260" s="6" t="s">
        <v>1629</v>
      </c>
      <c r="C260" s="5" t="s">
        <v>1630</v>
      </c>
      <c r="D260" s="5" t="s">
        <v>453</v>
      </c>
      <c r="E260" s="5" t="s">
        <v>429</v>
      </c>
      <c r="F260" s="5" t="s">
        <v>1563</v>
      </c>
      <c r="G260" s="5" t="s">
        <v>431</v>
      </c>
      <c r="H260" s="5"/>
      <c r="I260" s="5"/>
      <c r="J260" s="5"/>
      <c r="K260" s="5" t="s">
        <v>1631</v>
      </c>
      <c r="L260" s="5"/>
      <c r="M260" s="5" t="s">
        <v>1632</v>
      </c>
      <c r="N260" s="5" t="s">
        <v>1633</v>
      </c>
      <c r="O260" s="6" t="s">
        <v>1634</v>
      </c>
    </row>
    <row r="261" customFormat="false" ht="23.85" hidden="false" customHeight="false" outlineLevel="0" collapsed="false">
      <c r="A261" s="5" t="s">
        <v>34</v>
      </c>
      <c r="B261" s="6" t="s">
        <v>1635</v>
      </c>
      <c r="C261" s="5" t="s">
        <v>1636</v>
      </c>
      <c r="D261" s="5" t="s">
        <v>1608</v>
      </c>
      <c r="E261" s="5" t="s">
        <v>510</v>
      </c>
      <c r="F261" s="5" t="s">
        <v>1563</v>
      </c>
      <c r="G261" s="5" t="s">
        <v>431</v>
      </c>
      <c r="H261" s="5"/>
      <c r="I261" s="5"/>
      <c r="J261" s="5"/>
      <c r="K261" s="5" t="s">
        <v>1637</v>
      </c>
      <c r="L261" s="5" t="s">
        <v>1610</v>
      </c>
      <c r="M261" s="5" t="s">
        <v>1638</v>
      </c>
      <c r="N261" s="5" t="s">
        <v>1639</v>
      </c>
      <c r="O261" s="6" t="s">
        <v>1640</v>
      </c>
    </row>
    <row r="262" customFormat="false" ht="22.35" hidden="false" customHeight="false" outlineLevel="0" collapsed="false">
      <c r="A262" s="5" t="s">
        <v>34</v>
      </c>
      <c r="B262" s="6" t="s">
        <v>1641</v>
      </c>
      <c r="C262" s="5" t="s">
        <v>1642</v>
      </c>
      <c r="D262" s="5" t="s">
        <v>428</v>
      </c>
      <c r="E262" s="5" t="s">
        <v>429</v>
      </c>
      <c r="F262" s="5" t="s">
        <v>1563</v>
      </c>
      <c r="G262" s="5" t="s">
        <v>431</v>
      </c>
      <c r="H262" s="5"/>
      <c r="I262" s="5"/>
      <c r="J262" s="5"/>
      <c r="K262" s="5"/>
      <c r="L262" s="5"/>
      <c r="M262" s="5" t="s">
        <v>1643</v>
      </c>
      <c r="N262" s="5" t="s">
        <v>1644</v>
      </c>
      <c r="O262" s="6" t="s">
        <v>1645</v>
      </c>
    </row>
    <row r="263" customFormat="false" ht="22.35" hidden="false" customHeight="false" outlineLevel="0" collapsed="false">
      <c r="A263" s="5" t="s">
        <v>34</v>
      </c>
      <c r="B263" s="6" t="s">
        <v>1646</v>
      </c>
      <c r="C263" s="5" t="s">
        <v>1647</v>
      </c>
      <c r="D263" s="5" t="s">
        <v>437</v>
      </c>
      <c r="E263" s="5" t="s">
        <v>429</v>
      </c>
      <c r="F263" s="5" t="s">
        <v>1563</v>
      </c>
      <c r="G263" s="5" t="s">
        <v>431</v>
      </c>
      <c r="H263" s="5"/>
      <c r="I263" s="5"/>
      <c r="J263" s="5"/>
      <c r="K263" s="5"/>
      <c r="L263" s="5"/>
      <c r="M263" s="5" t="s">
        <v>1648</v>
      </c>
      <c r="N263" s="5" t="s">
        <v>1649</v>
      </c>
      <c r="O263" s="6" t="s">
        <v>1650</v>
      </c>
    </row>
    <row r="264" customFormat="false" ht="23.85" hidden="false" customHeight="false" outlineLevel="0" collapsed="false">
      <c r="A264" s="7" t="s">
        <v>34</v>
      </c>
      <c r="B264" s="8" t="s">
        <v>1651</v>
      </c>
      <c r="C264" s="7" t="s">
        <v>1652</v>
      </c>
      <c r="D264" s="7" t="s">
        <v>566</v>
      </c>
      <c r="E264" s="7" t="s">
        <v>510</v>
      </c>
      <c r="F264" s="7" t="s">
        <v>1563</v>
      </c>
      <c r="G264" s="7" t="s">
        <v>753</v>
      </c>
      <c r="H264" s="7"/>
      <c r="I264" s="7"/>
      <c r="J264" s="7"/>
      <c r="K264" s="7" t="s">
        <v>1653</v>
      </c>
      <c r="L264" s="7" t="s">
        <v>1654</v>
      </c>
      <c r="M264" s="7" t="s">
        <v>1655</v>
      </c>
      <c r="N264" s="7" t="s">
        <v>1656</v>
      </c>
      <c r="O264" s="8" t="s">
        <v>1657</v>
      </c>
    </row>
    <row r="265" customFormat="false" ht="23.85" hidden="false" customHeight="false" outlineLevel="0" collapsed="false">
      <c r="A265" s="7" t="s">
        <v>34</v>
      </c>
      <c r="B265" s="8" t="s">
        <v>1658</v>
      </c>
      <c r="C265" s="7" t="s">
        <v>1659</v>
      </c>
      <c r="D265" s="7" t="s">
        <v>566</v>
      </c>
      <c r="E265" s="7" t="s">
        <v>510</v>
      </c>
      <c r="F265" s="7" t="s">
        <v>1563</v>
      </c>
      <c r="G265" s="7" t="s">
        <v>753</v>
      </c>
      <c r="H265" s="7"/>
      <c r="I265" s="7"/>
      <c r="J265" s="7"/>
      <c r="K265" s="7"/>
      <c r="L265" s="7" t="s">
        <v>1660</v>
      </c>
      <c r="M265" s="7" t="s">
        <v>1658</v>
      </c>
      <c r="N265" s="7" t="s">
        <v>1661</v>
      </c>
      <c r="O265" s="8" t="s">
        <v>1662</v>
      </c>
    </row>
    <row r="266" customFormat="false" ht="22.35" hidden="false" customHeight="false" outlineLevel="0" collapsed="false">
      <c r="A266" s="5" t="s">
        <v>34</v>
      </c>
      <c r="B266" s="6" t="s">
        <v>1663</v>
      </c>
      <c r="C266" s="5" t="s">
        <v>1664</v>
      </c>
      <c r="D266" s="5" t="s">
        <v>509</v>
      </c>
      <c r="E266" s="5" t="s">
        <v>429</v>
      </c>
      <c r="F266" s="5" t="s">
        <v>1563</v>
      </c>
      <c r="G266" s="5" t="s">
        <v>431</v>
      </c>
      <c r="H266" s="5"/>
      <c r="I266" s="5"/>
      <c r="J266" s="5"/>
      <c r="K266" s="5"/>
      <c r="L266" s="5"/>
      <c r="M266" s="5" t="s">
        <v>1665</v>
      </c>
      <c r="N266" s="5" t="s">
        <v>1666</v>
      </c>
      <c r="O266" s="6" t="s">
        <v>1667</v>
      </c>
    </row>
    <row r="267" customFormat="false" ht="46.25" hidden="false" customHeight="false" outlineLevel="0" collapsed="false">
      <c r="A267" s="5" t="s">
        <v>34</v>
      </c>
      <c r="B267" s="6" t="s">
        <v>81</v>
      </c>
      <c r="C267" s="5" t="s">
        <v>1668</v>
      </c>
      <c r="D267" s="5" t="s">
        <v>566</v>
      </c>
      <c r="E267" s="5" t="s">
        <v>510</v>
      </c>
      <c r="F267" s="5" t="s">
        <v>1563</v>
      </c>
      <c r="G267" s="5" t="s">
        <v>431</v>
      </c>
      <c r="H267" s="5"/>
      <c r="I267" s="5"/>
      <c r="J267" s="5"/>
      <c r="K267" s="5" t="s">
        <v>1669</v>
      </c>
      <c r="L267" s="5" t="s">
        <v>1670</v>
      </c>
      <c r="M267" s="5" t="s">
        <v>1671</v>
      </c>
      <c r="N267" s="5" t="s">
        <v>1672</v>
      </c>
      <c r="O267" s="6" t="s">
        <v>1673</v>
      </c>
    </row>
    <row r="268" customFormat="false" ht="23.85" hidden="false" customHeight="false" outlineLevel="0" collapsed="false">
      <c r="A268" s="5" t="s">
        <v>34</v>
      </c>
      <c r="B268" s="6" t="s">
        <v>1674</v>
      </c>
      <c r="C268" s="5" t="s">
        <v>1675</v>
      </c>
      <c r="D268" s="5" t="s">
        <v>566</v>
      </c>
      <c r="E268" s="5" t="s">
        <v>510</v>
      </c>
      <c r="F268" s="5" t="s">
        <v>1563</v>
      </c>
      <c r="G268" s="5" t="s">
        <v>431</v>
      </c>
      <c r="H268" s="5"/>
      <c r="I268" s="5"/>
      <c r="J268" s="5"/>
      <c r="K268" s="5" t="s">
        <v>1676</v>
      </c>
      <c r="L268" s="5" t="s">
        <v>1677</v>
      </c>
      <c r="M268" s="5" t="s">
        <v>1678</v>
      </c>
      <c r="N268" s="5" t="s">
        <v>1679</v>
      </c>
      <c r="O268" s="6" t="s">
        <v>1680</v>
      </c>
    </row>
    <row r="269" customFormat="false" ht="22.35" hidden="false" customHeight="false" outlineLevel="0" collapsed="false">
      <c r="A269" s="5" t="s">
        <v>34</v>
      </c>
      <c r="B269" s="6" t="s">
        <v>1681</v>
      </c>
      <c r="C269" s="5" t="s">
        <v>1682</v>
      </c>
      <c r="D269" s="5" t="s">
        <v>509</v>
      </c>
      <c r="E269" s="5" t="s">
        <v>429</v>
      </c>
      <c r="F269" s="5" t="s">
        <v>1563</v>
      </c>
      <c r="G269" s="5" t="s">
        <v>431</v>
      </c>
      <c r="H269" s="5"/>
      <c r="I269" s="5"/>
      <c r="J269" s="5"/>
      <c r="K269" s="5" t="s">
        <v>1585</v>
      </c>
      <c r="L269" s="5"/>
      <c r="M269" s="5" t="s">
        <v>1683</v>
      </c>
      <c r="N269" s="5" t="s">
        <v>1684</v>
      </c>
      <c r="O269" s="6" t="s">
        <v>1685</v>
      </c>
    </row>
    <row r="270" customFormat="false" ht="22.35" hidden="false" customHeight="false" outlineLevel="0" collapsed="false">
      <c r="A270" s="5" t="s">
        <v>34</v>
      </c>
      <c r="B270" s="6" t="s">
        <v>1686</v>
      </c>
      <c r="C270" s="5" t="s">
        <v>1687</v>
      </c>
      <c r="D270" s="5" t="s">
        <v>437</v>
      </c>
      <c r="E270" s="5" t="s">
        <v>510</v>
      </c>
      <c r="F270" s="5" t="s">
        <v>1688</v>
      </c>
      <c r="G270" s="5" t="s">
        <v>1689</v>
      </c>
      <c r="H270" s="5"/>
      <c r="I270" s="5"/>
      <c r="J270" s="5"/>
      <c r="K270" s="5"/>
      <c r="L270" s="5"/>
      <c r="M270" s="5" t="s">
        <v>1690</v>
      </c>
      <c r="N270" s="5" t="s">
        <v>1691</v>
      </c>
      <c r="O270" s="6" t="s">
        <v>1692</v>
      </c>
    </row>
    <row r="271" customFormat="false" ht="15" hidden="false" customHeight="false" outlineLevel="0" collapsed="false">
      <c r="A271" s="5" t="s">
        <v>34</v>
      </c>
      <c r="B271" s="6" t="s">
        <v>1693</v>
      </c>
      <c r="C271" s="5" t="s">
        <v>1693</v>
      </c>
      <c r="D271" s="5" t="s">
        <v>437</v>
      </c>
      <c r="E271" s="5" t="s">
        <v>510</v>
      </c>
      <c r="F271" s="5" t="s">
        <v>1688</v>
      </c>
      <c r="G271" s="5" t="s">
        <v>1689</v>
      </c>
      <c r="H271" s="5"/>
      <c r="I271" s="5"/>
      <c r="J271" s="5"/>
      <c r="K271" s="5"/>
      <c r="L271" s="5"/>
      <c r="M271" s="5" t="s">
        <v>1693</v>
      </c>
      <c r="N271" s="5" t="s">
        <v>1694</v>
      </c>
      <c r="O271" s="6" t="s">
        <v>1695</v>
      </c>
    </row>
    <row r="272" customFormat="false" ht="22.35" hidden="false" customHeight="false" outlineLevel="0" collapsed="false">
      <c r="A272" s="5" t="s">
        <v>34</v>
      </c>
      <c r="B272" s="6" t="s">
        <v>1696</v>
      </c>
      <c r="C272" s="5" t="s">
        <v>1697</v>
      </c>
      <c r="D272" s="5" t="s">
        <v>437</v>
      </c>
      <c r="E272" s="5" t="s">
        <v>429</v>
      </c>
      <c r="F272" s="5" t="s">
        <v>1688</v>
      </c>
      <c r="G272" s="5" t="s">
        <v>1689</v>
      </c>
      <c r="H272" s="5"/>
      <c r="I272" s="5"/>
      <c r="J272" s="5"/>
      <c r="K272" s="5"/>
      <c r="L272" s="5"/>
      <c r="M272" s="5" t="s">
        <v>1698</v>
      </c>
      <c r="N272" s="5" t="s">
        <v>1699</v>
      </c>
      <c r="O272" s="6" t="s">
        <v>1700</v>
      </c>
    </row>
    <row r="273" customFormat="false" ht="113.4" hidden="false" customHeight="false" outlineLevel="0" collapsed="false">
      <c r="A273" s="5" t="s">
        <v>34</v>
      </c>
      <c r="B273" s="6" t="s">
        <v>75</v>
      </c>
      <c r="C273" s="5" t="s">
        <v>1701</v>
      </c>
      <c r="D273" s="5" t="s">
        <v>566</v>
      </c>
      <c r="E273" s="5" t="s">
        <v>510</v>
      </c>
      <c r="F273" s="5" t="s">
        <v>1688</v>
      </c>
      <c r="G273" s="5" t="s">
        <v>431</v>
      </c>
      <c r="H273" s="5"/>
      <c r="I273" s="5"/>
      <c r="J273" s="5"/>
      <c r="K273" s="5" t="s">
        <v>1702</v>
      </c>
      <c r="L273" s="5" t="s">
        <v>1703</v>
      </c>
      <c r="M273" s="5" t="s">
        <v>1704</v>
      </c>
      <c r="N273" s="5" t="s">
        <v>1705</v>
      </c>
      <c r="O273" s="6" t="s">
        <v>40</v>
      </c>
    </row>
    <row r="274" customFormat="false" ht="23.85" hidden="false" customHeight="false" outlineLevel="0" collapsed="false">
      <c r="A274" s="5" t="s">
        <v>34</v>
      </c>
      <c r="B274" s="6" t="s">
        <v>45</v>
      </c>
      <c r="C274" s="5" t="s">
        <v>1706</v>
      </c>
      <c r="D274" s="5" t="s">
        <v>566</v>
      </c>
      <c r="E274" s="5" t="s">
        <v>510</v>
      </c>
      <c r="F274" s="5" t="s">
        <v>1688</v>
      </c>
      <c r="G274" s="5" t="s">
        <v>431</v>
      </c>
      <c r="H274" s="5"/>
      <c r="I274" s="5"/>
      <c r="J274" s="5"/>
      <c r="K274" s="5"/>
      <c r="L274" s="5" t="s">
        <v>1707</v>
      </c>
      <c r="M274" s="5" t="s">
        <v>1708</v>
      </c>
      <c r="N274" s="5" t="s">
        <v>1709</v>
      </c>
      <c r="O274" s="6" t="s">
        <v>1710</v>
      </c>
    </row>
    <row r="275" customFormat="false" ht="23.85" hidden="false" customHeight="false" outlineLevel="0" collapsed="false">
      <c r="A275" s="5" t="s">
        <v>34</v>
      </c>
      <c r="B275" s="6" t="s">
        <v>54</v>
      </c>
      <c r="C275" s="5" t="s">
        <v>1711</v>
      </c>
      <c r="D275" s="5" t="s">
        <v>566</v>
      </c>
      <c r="E275" s="5" t="s">
        <v>510</v>
      </c>
      <c r="F275" s="5" t="s">
        <v>1688</v>
      </c>
      <c r="G275" s="5" t="s">
        <v>431</v>
      </c>
      <c r="H275" s="5"/>
      <c r="I275" s="5"/>
      <c r="J275" s="5"/>
      <c r="K275" s="5"/>
      <c r="L275" s="5" t="s">
        <v>1712</v>
      </c>
      <c r="M275" s="5" t="s">
        <v>1713</v>
      </c>
      <c r="N275" s="5" t="s">
        <v>1714</v>
      </c>
      <c r="O275" s="6" t="s">
        <v>58</v>
      </c>
    </row>
    <row r="276" customFormat="false" ht="22.35" hidden="false" customHeight="false" outlineLevel="0" collapsed="false">
      <c r="A276" s="5" t="s">
        <v>34</v>
      </c>
      <c r="B276" s="6" t="s">
        <v>1715</v>
      </c>
      <c r="C276" s="5" t="s">
        <v>1716</v>
      </c>
      <c r="D276" s="5" t="s">
        <v>437</v>
      </c>
      <c r="E276" s="5" t="s">
        <v>510</v>
      </c>
      <c r="F276" s="5" t="s">
        <v>1688</v>
      </c>
      <c r="G276" s="5" t="s">
        <v>1689</v>
      </c>
      <c r="H276" s="5"/>
      <c r="I276" s="5"/>
      <c r="J276" s="5"/>
      <c r="K276" s="5"/>
      <c r="L276" s="5"/>
      <c r="M276" s="5" t="s">
        <v>1717</v>
      </c>
      <c r="N276" s="5" t="s">
        <v>1718</v>
      </c>
      <c r="O276" s="6" t="s">
        <v>1719</v>
      </c>
    </row>
    <row r="277" customFormat="false" ht="23.85" hidden="false" customHeight="false" outlineLevel="0" collapsed="false">
      <c r="A277" s="5" t="s">
        <v>34</v>
      </c>
      <c r="B277" s="6" t="s">
        <v>1720</v>
      </c>
      <c r="C277" s="5" t="s">
        <v>1721</v>
      </c>
      <c r="D277" s="5" t="s">
        <v>437</v>
      </c>
      <c r="E277" s="5" t="s">
        <v>510</v>
      </c>
      <c r="F277" s="5" t="s">
        <v>1688</v>
      </c>
      <c r="G277" s="5" t="s">
        <v>1722</v>
      </c>
      <c r="H277" s="5"/>
      <c r="I277" s="5"/>
      <c r="J277" s="5"/>
      <c r="K277" s="5"/>
      <c r="L277" s="5"/>
      <c r="M277" s="5" t="s">
        <v>1723</v>
      </c>
      <c r="N277" s="5" t="s">
        <v>1724</v>
      </c>
      <c r="O277" s="6" t="s">
        <v>1725</v>
      </c>
    </row>
    <row r="278" customFormat="false" ht="68.65" hidden="false" customHeight="false" outlineLevel="0" collapsed="false">
      <c r="A278" s="5" t="s">
        <v>34</v>
      </c>
      <c r="B278" s="6" t="s">
        <v>63</v>
      </c>
      <c r="C278" s="5" t="s">
        <v>1726</v>
      </c>
      <c r="D278" s="5" t="s">
        <v>566</v>
      </c>
      <c r="E278" s="5" t="s">
        <v>510</v>
      </c>
      <c r="F278" s="5" t="s">
        <v>1688</v>
      </c>
      <c r="G278" s="5" t="s">
        <v>431</v>
      </c>
      <c r="H278" s="5"/>
      <c r="I278" s="5"/>
      <c r="J278" s="5"/>
      <c r="K278" s="5"/>
      <c r="L278" s="5" t="s">
        <v>1727</v>
      </c>
      <c r="M278" s="5" t="s">
        <v>1728</v>
      </c>
      <c r="N278" s="5" t="s">
        <v>1729</v>
      </c>
      <c r="O278" s="6" t="s">
        <v>1730</v>
      </c>
    </row>
    <row r="279" customFormat="false" ht="23.85" hidden="false" customHeight="false" outlineLevel="0" collapsed="false">
      <c r="A279" s="5" t="s">
        <v>34</v>
      </c>
      <c r="B279" s="6" t="s">
        <v>72</v>
      </c>
      <c r="C279" s="5" t="s">
        <v>1731</v>
      </c>
      <c r="D279" s="5" t="s">
        <v>566</v>
      </c>
      <c r="E279" s="5" t="s">
        <v>510</v>
      </c>
      <c r="F279" s="5" t="s">
        <v>1688</v>
      </c>
      <c r="G279" s="5" t="s">
        <v>431</v>
      </c>
      <c r="H279" s="5"/>
      <c r="I279" s="5"/>
      <c r="J279" s="5"/>
      <c r="K279" s="5"/>
      <c r="L279" s="5" t="s">
        <v>1732</v>
      </c>
      <c r="M279" s="5" t="s">
        <v>1733</v>
      </c>
      <c r="N279" s="5" t="s">
        <v>1734</v>
      </c>
      <c r="O279" s="6" t="s">
        <v>1735</v>
      </c>
    </row>
    <row r="280" customFormat="false" ht="15" hidden="false" customHeight="false" outlineLevel="0" collapsed="false">
      <c r="A280" s="5" t="s">
        <v>34</v>
      </c>
      <c r="B280" s="6" t="s">
        <v>1736</v>
      </c>
      <c r="C280" s="5" t="s">
        <v>1737</v>
      </c>
      <c r="D280" s="5" t="s">
        <v>437</v>
      </c>
      <c r="E280" s="5" t="s">
        <v>510</v>
      </c>
      <c r="F280" s="5" t="s">
        <v>1738</v>
      </c>
      <c r="G280" s="5" t="s">
        <v>431</v>
      </c>
      <c r="H280" s="5"/>
      <c r="I280" s="5"/>
      <c r="J280" s="5"/>
      <c r="K280" s="5"/>
      <c r="L280" s="5"/>
      <c r="M280" s="5" t="s">
        <v>1736</v>
      </c>
      <c r="N280" s="5" t="s">
        <v>1739</v>
      </c>
      <c r="O280" s="6" t="s">
        <v>1740</v>
      </c>
    </row>
    <row r="281" customFormat="false" ht="22.35" hidden="false" customHeight="false" outlineLevel="0" collapsed="false">
      <c r="A281" s="5" t="s">
        <v>34</v>
      </c>
      <c r="B281" s="6" t="s">
        <v>1741</v>
      </c>
      <c r="C281" s="5" t="s">
        <v>1742</v>
      </c>
      <c r="D281" s="5" t="s">
        <v>437</v>
      </c>
      <c r="E281" s="5" t="s">
        <v>510</v>
      </c>
      <c r="F281" s="5" t="s">
        <v>1738</v>
      </c>
      <c r="G281" s="5" t="s">
        <v>431</v>
      </c>
      <c r="H281" s="5"/>
      <c r="I281" s="5"/>
      <c r="J281" s="5"/>
      <c r="K281" s="5"/>
      <c r="L281" s="5"/>
      <c r="M281" s="5" t="s">
        <v>1741</v>
      </c>
      <c r="N281" s="5" t="s">
        <v>1743</v>
      </c>
      <c r="O281" s="6" t="s">
        <v>1744</v>
      </c>
    </row>
    <row r="282" customFormat="false" ht="22.35" hidden="false" customHeight="false" outlineLevel="0" collapsed="false">
      <c r="A282" s="5" t="s">
        <v>34</v>
      </c>
      <c r="B282" s="6" t="s">
        <v>1745</v>
      </c>
      <c r="C282" s="5" t="s">
        <v>1746</v>
      </c>
      <c r="D282" s="5" t="s">
        <v>566</v>
      </c>
      <c r="E282" s="5" t="s">
        <v>510</v>
      </c>
      <c r="F282" s="5" t="s">
        <v>1738</v>
      </c>
      <c r="G282" s="5" t="s">
        <v>431</v>
      </c>
      <c r="H282" s="5"/>
      <c r="I282" s="5"/>
      <c r="J282" s="5"/>
      <c r="K282" s="5"/>
      <c r="L282" s="5" t="s">
        <v>1747</v>
      </c>
      <c r="M282" s="5" t="s">
        <v>1748</v>
      </c>
      <c r="N282" s="5" t="s">
        <v>1749</v>
      </c>
      <c r="O282" s="6" t="s">
        <v>1750</v>
      </c>
    </row>
    <row r="283" customFormat="false" ht="22.35" hidden="false" customHeight="false" outlineLevel="0" collapsed="false">
      <c r="A283" s="5" t="s">
        <v>34</v>
      </c>
      <c r="B283" s="6" t="s">
        <v>1751</v>
      </c>
      <c r="C283" s="5" t="s">
        <v>1752</v>
      </c>
      <c r="D283" s="5" t="s">
        <v>566</v>
      </c>
      <c r="E283" s="5" t="s">
        <v>510</v>
      </c>
      <c r="F283" s="5" t="s">
        <v>1738</v>
      </c>
      <c r="G283" s="5" t="s">
        <v>431</v>
      </c>
      <c r="H283" s="5"/>
      <c r="I283" s="5"/>
      <c r="J283" s="5"/>
      <c r="K283" s="5"/>
      <c r="L283" s="5" t="s">
        <v>1753</v>
      </c>
      <c r="M283" s="5" t="s">
        <v>1754</v>
      </c>
      <c r="N283" s="5" t="s">
        <v>1755</v>
      </c>
      <c r="O283" s="6" t="s">
        <v>1756</v>
      </c>
    </row>
    <row r="284" customFormat="false" ht="22.35" hidden="false" customHeight="false" outlineLevel="0" collapsed="false">
      <c r="A284" s="5" t="s">
        <v>34</v>
      </c>
      <c r="B284" s="6" t="s">
        <v>272</v>
      </c>
      <c r="C284" s="5" t="s">
        <v>1757</v>
      </c>
      <c r="D284" s="5" t="s">
        <v>566</v>
      </c>
      <c r="E284" s="5" t="s">
        <v>510</v>
      </c>
      <c r="F284" s="5" t="s">
        <v>1738</v>
      </c>
      <c r="G284" s="5" t="s">
        <v>431</v>
      </c>
      <c r="H284" s="5"/>
      <c r="I284" s="5"/>
      <c r="J284" s="5"/>
      <c r="K284" s="5" t="s">
        <v>1758</v>
      </c>
      <c r="L284" s="5" t="s">
        <v>1759</v>
      </c>
      <c r="M284" s="5" t="s">
        <v>1760</v>
      </c>
      <c r="N284" s="5" t="s">
        <v>1761</v>
      </c>
      <c r="O284" s="6" t="s">
        <v>273</v>
      </c>
    </row>
    <row r="285" customFormat="false" ht="15" hidden="false" customHeight="false" outlineLevel="0" collapsed="false">
      <c r="A285" s="5" t="s">
        <v>34</v>
      </c>
      <c r="B285" s="6" t="s">
        <v>1762</v>
      </c>
      <c r="C285" s="5" t="s">
        <v>1763</v>
      </c>
      <c r="D285" s="5" t="s">
        <v>566</v>
      </c>
      <c r="E285" s="5" t="s">
        <v>510</v>
      </c>
      <c r="F285" s="5" t="s">
        <v>1738</v>
      </c>
      <c r="G285" s="5" t="s">
        <v>431</v>
      </c>
      <c r="H285" s="5"/>
      <c r="I285" s="5"/>
      <c r="J285" s="5"/>
      <c r="K285" s="5"/>
      <c r="L285" s="5" t="s">
        <v>1732</v>
      </c>
      <c r="M285" s="5" t="s">
        <v>1764</v>
      </c>
      <c r="N285" s="5" t="s">
        <v>1765</v>
      </c>
      <c r="O285" s="6" t="s">
        <v>1766</v>
      </c>
    </row>
    <row r="286" customFormat="false" ht="15" hidden="false" customHeight="false" outlineLevel="0" collapsed="false">
      <c r="A286" s="5" t="s">
        <v>34</v>
      </c>
      <c r="B286" s="6" t="s">
        <v>1767</v>
      </c>
      <c r="C286" s="5" t="s">
        <v>1768</v>
      </c>
      <c r="D286" s="5" t="s">
        <v>566</v>
      </c>
      <c r="E286" s="5" t="s">
        <v>510</v>
      </c>
      <c r="F286" s="5" t="s">
        <v>1738</v>
      </c>
      <c r="G286" s="5" t="s">
        <v>431</v>
      </c>
      <c r="H286" s="5"/>
      <c r="I286" s="5"/>
      <c r="J286" s="5"/>
      <c r="K286" s="5"/>
      <c r="L286" s="5" t="s">
        <v>1769</v>
      </c>
      <c r="M286" s="5" t="s">
        <v>1770</v>
      </c>
      <c r="N286" s="5" t="s">
        <v>1771</v>
      </c>
      <c r="O286" s="6" t="s">
        <v>1772</v>
      </c>
    </row>
    <row r="287" customFormat="false" ht="22.35" hidden="false" customHeight="false" outlineLevel="0" collapsed="false">
      <c r="A287" s="5" t="s">
        <v>34</v>
      </c>
      <c r="B287" s="6" t="s">
        <v>1773</v>
      </c>
      <c r="C287" s="5" t="s">
        <v>1774</v>
      </c>
      <c r="D287" s="5" t="s">
        <v>566</v>
      </c>
      <c r="E287" s="5" t="s">
        <v>510</v>
      </c>
      <c r="F287" s="5" t="s">
        <v>1738</v>
      </c>
      <c r="G287" s="5" t="s">
        <v>431</v>
      </c>
      <c r="H287" s="5"/>
      <c r="I287" s="5"/>
      <c r="J287" s="5"/>
      <c r="K287" s="5"/>
      <c r="L287" s="5" t="s">
        <v>1769</v>
      </c>
      <c r="M287" s="5" t="s">
        <v>1775</v>
      </c>
      <c r="N287" s="5" t="s">
        <v>1776</v>
      </c>
      <c r="O287" s="6" t="s">
        <v>1777</v>
      </c>
    </row>
    <row r="288" customFormat="false" ht="15" hidden="false" customHeight="false" outlineLevel="0" collapsed="false">
      <c r="A288" s="5" t="s">
        <v>34</v>
      </c>
      <c r="B288" s="6" t="s">
        <v>206</v>
      </c>
      <c r="C288" s="5" t="s">
        <v>1778</v>
      </c>
      <c r="D288" s="5" t="s">
        <v>566</v>
      </c>
      <c r="E288" s="5" t="s">
        <v>510</v>
      </c>
      <c r="F288" s="5" t="s">
        <v>1738</v>
      </c>
      <c r="G288" s="5" t="s">
        <v>431</v>
      </c>
      <c r="H288" s="5"/>
      <c r="I288" s="5"/>
      <c r="J288" s="5"/>
      <c r="K288" s="5"/>
      <c r="L288" s="5" t="s">
        <v>1769</v>
      </c>
      <c r="M288" s="5" t="s">
        <v>1779</v>
      </c>
      <c r="N288" s="5" t="s">
        <v>1780</v>
      </c>
      <c r="O288" s="6" t="s">
        <v>1781</v>
      </c>
    </row>
    <row r="289" customFormat="false" ht="15" hidden="false" customHeight="false" outlineLevel="0" collapsed="false">
      <c r="A289" s="5" t="s">
        <v>34</v>
      </c>
      <c r="B289" s="6" t="s">
        <v>1782</v>
      </c>
      <c r="C289" s="5" t="s">
        <v>1783</v>
      </c>
      <c r="D289" s="5" t="s">
        <v>566</v>
      </c>
      <c r="E289" s="5" t="s">
        <v>510</v>
      </c>
      <c r="F289" s="5" t="s">
        <v>1738</v>
      </c>
      <c r="G289" s="5" t="s">
        <v>431</v>
      </c>
      <c r="H289" s="5"/>
      <c r="I289" s="5"/>
      <c r="J289" s="5"/>
      <c r="K289" s="5"/>
      <c r="L289" s="5" t="s">
        <v>1784</v>
      </c>
      <c r="M289" s="5" t="s">
        <v>1785</v>
      </c>
      <c r="N289" s="5" t="s">
        <v>1786</v>
      </c>
      <c r="O289" s="6" t="s">
        <v>222</v>
      </c>
    </row>
    <row r="290" customFormat="false" ht="23.85" hidden="false" customHeight="false" outlineLevel="0" collapsed="false">
      <c r="A290" s="5" t="s">
        <v>34</v>
      </c>
      <c r="B290" s="6" t="s">
        <v>1787</v>
      </c>
      <c r="C290" s="5" t="s">
        <v>1788</v>
      </c>
      <c r="D290" s="5" t="s">
        <v>437</v>
      </c>
      <c r="E290" s="5" t="s">
        <v>510</v>
      </c>
      <c r="F290" s="5" t="s">
        <v>1738</v>
      </c>
      <c r="G290" s="5" t="s">
        <v>431</v>
      </c>
      <c r="H290" s="5"/>
      <c r="I290" s="5"/>
      <c r="J290" s="5"/>
      <c r="K290" s="5"/>
      <c r="L290" s="5"/>
      <c r="M290" s="5" t="s">
        <v>1789</v>
      </c>
      <c r="N290" s="5" t="s">
        <v>1790</v>
      </c>
      <c r="O290" s="6" t="s">
        <v>1791</v>
      </c>
    </row>
    <row r="291" customFormat="false" ht="15" hidden="false" customHeight="false" outlineLevel="0" collapsed="false">
      <c r="A291" s="5" t="s">
        <v>34</v>
      </c>
      <c r="B291" s="6" t="s">
        <v>278</v>
      </c>
      <c r="C291" s="5" t="s">
        <v>1792</v>
      </c>
      <c r="D291" s="5" t="s">
        <v>566</v>
      </c>
      <c r="E291" s="5" t="s">
        <v>510</v>
      </c>
      <c r="F291" s="5" t="s">
        <v>1738</v>
      </c>
      <c r="G291" s="5" t="s">
        <v>431</v>
      </c>
      <c r="H291" s="5"/>
      <c r="I291" s="5"/>
      <c r="J291" s="5"/>
      <c r="K291" s="5"/>
      <c r="L291" s="5" t="s">
        <v>1793</v>
      </c>
      <c r="M291" s="5" t="s">
        <v>1794</v>
      </c>
      <c r="N291" s="5" t="s">
        <v>1795</v>
      </c>
      <c r="O291" s="6" t="s">
        <v>1796</v>
      </c>
    </row>
    <row r="292" customFormat="false" ht="23.85" hidden="false" customHeight="false" outlineLevel="0" collapsed="false">
      <c r="A292" s="5" t="s">
        <v>34</v>
      </c>
      <c r="B292" s="6" t="s">
        <v>1797</v>
      </c>
      <c r="C292" s="5" t="s">
        <v>1798</v>
      </c>
      <c r="D292" s="5" t="s">
        <v>437</v>
      </c>
      <c r="E292" s="5" t="s">
        <v>510</v>
      </c>
      <c r="F292" s="5" t="s">
        <v>1738</v>
      </c>
      <c r="G292" s="5" t="s">
        <v>431</v>
      </c>
      <c r="H292" s="5"/>
      <c r="I292" s="5"/>
      <c r="J292" s="5"/>
      <c r="K292" s="5"/>
      <c r="L292" s="5"/>
      <c r="M292" s="5" t="s">
        <v>1799</v>
      </c>
      <c r="N292" s="5" t="s">
        <v>1800</v>
      </c>
      <c r="O292" s="6" t="s">
        <v>1801</v>
      </c>
    </row>
    <row r="293" customFormat="false" ht="15" hidden="false" customHeight="false" outlineLevel="0" collapsed="false">
      <c r="A293" s="5" t="s">
        <v>34</v>
      </c>
      <c r="B293" s="6" t="s">
        <v>1802</v>
      </c>
      <c r="C293" s="5" t="s">
        <v>1803</v>
      </c>
      <c r="D293" s="5" t="s">
        <v>566</v>
      </c>
      <c r="E293" s="5" t="s">
        <v>510</v>
      </c>
      <c r="F293" s="5" t="s">
        <v>1738</v>
      </c>
      <c r="G293" s="5" t="s">
        <v>431</v>
      </c>
      <c r="H293" s="5"/>
      <c r="I293" s="5"/>
      <c r="J293" s="5"/>
      <c r="K293" s="5" t="s">
        <v>1804</v>
      </c>
      <c r="L293" s="5" t="s">
        <v>1747</v>
      </c>
      <c r="M293" s="5" t="s">
        <v>1805</v>
      </c>
      <c r="N293" s="5" t="s">
        <v>1806</v>
      </c>
      <c r="O293" s="6" t="s">
        <v>1807</v>
      </c>
    </row>
    <row r="294" customFormat="false" ht="23.85" hidden="false" customHeight="false" outlineLevel="0" collapsed="false">
      <c r="A294" s="5" t="s">
        <v>34</v>
      </c>
      <c r="B294" s="6" t="s">
        <v>1808</v>
      </c>
      <c r="C294" s="5" t="s">
        <v>1809</v>
      </c>
      <c r="D294" s="5" t="s">
        <v>509</v>
      </c>
      <c r="E294" s="5" t="s">
        <v>1810</v>
      </c>
      <c r="F294" s="5" t="s">
        <v>1811</v>
      </c>
      <c r="G294" s="5" t="s">
        <v>1496</v>
      </c>
      <c r="H294" s="5"/>
      <c r="I294" s="5"/>
      <c r="J294" s="5"/>
      <c r="K294" s="5" t="s">
        <v>1812</v>
      </c>
      <c r="L294" s="5"/>
      <c r="M294" s="5" t="s">
        <v>1813</v>
      </c>
      <c r="N294" s="5" t="s">
        <v>1814</v>
      </c>
      <c r="O294" s="6" t="s">
        <v>1815</v>
      </c>
    </row>
    <row r="295" customFormat="false" ht="23.85" hidden="false" customHeight="false" outlineLevel="0" collapsed="false">
      <c r="A295" s="5" t="s">
        <v>34</v>
      </c>
      <c r="B295" s="6" t="s">
        <v>1816</v>
      </c>
      <c r="C295" s="5" t="s">
        <v>1817</v>
      </c>
      <c r="D295" s="5" t="s">
        <v>509</v>
      </c>
      <c r="E295" s="5" t="s">
        <v>1810</v>
      </c>
      <c r="F295" s="5" t="s">
        <v>1811</v>
      </c>
      <c r="G295" s="5" t="s">
        <v>1496</v>
      </c>
      <c r="H295" s="5"/>
      <c r="I295" s="5"/>
      <c r="J295" s="5"/>
      <c r="K295" s="5" t="s">
        <v>1818</v>
      </c>
      <c r="L295" s="5"/>
      <c r="M295" s="5" t="s">
        <v>1813</v>
      </c>
      <c r="N295" s="5" t="s">
        <v>1819</v>
      </c>
      <c r="O295" s="6" t="s">
        <v>1820</v>
      </c>
    </row>
    <row r="296" customFormat="false" ht="23.85" hidden="false" customHeight="false" outlineLevel="0" collapsed="false">
      <c r="A296" s="5" t="s">
        <v>34</v>
      </c>
      <c r="B296" s="6" t="s">
        <v>1821</v>
      </c>
      <c r="C296" s="5" t="s">
        <v>1822</v>
      </c>
      <c r="D296" s="5" t="s">
        <v>509</v>
      </c>
      <c r="E296" s="5" t="s">
        <v>1810</v>
      </c>
      <c r="F296" s="5" t="s">
        <v>1811</v>
      </c>
      <c r="G296" s="5" t="s">
        <v>1496</v>
      </c>
      <c r="H296" s="5"/>
      <c r="I296" s="5"/>
      <c r="J296" s="5"/>
      <c r="K296" s="5" t="s">
        <v>1823</v>
      </c>
      <c r="L296" s="5"/>
      <c r="M296" s="5" t="s">
        <v>1813</v>
      </c>
      <c r="N296" s="5" t="s">
        <v>1824</v>
      </c>
      <c r="O296" s="6" t="s">
        <v>1825</v>
      </c>
    </row>
    <row r="297" customFormat="false" ht="23.85" hidden="false" customHeight="false" outlineLevel="0" collapsed="false">
      <c r="A297" s="5" t="s">
        <v>34</v>
      </c>
      <c r="B297" s="6" t="s">
        <v>1826</v>
      </c>
      <c r="C297" s="5" t="s">
        <v>1827</v>
      </c>
      <c r="D297" s="5" t="s">
        <v>509</v>
      </c>
      <c r="E297" s="5" t="s">
        <v>1810</v>
      </c>
      <c r="F297" s="5" t="s">
        <v>1811</v>
      </c>
      <c r="G297" s="5" t="s">
        <v>1496</v>
      </c>
      <c r="H297" s="5"/>
      <c r="I297" s="5"/>
      <c r="J297" s="5"/>
      <c r="K297" s="5" t="s">
        <v>1828</v>
      </c>
      <c r="L297" s="5"/>
      <c r="M297" s="5" t="s">
        <v>1813</v>
      </c>
      <c r="N297" s="5" t="s">
        <v>1829</v>
      </c>
      <c r="O297" s="6" t="s">
        <v>1830</v>
      </c>
    </row>
    <row r="298" customFormat="false" ht="23.85" hidden="false" customHeight="false" outlineLevel="0" collapsed="false">
      <c r="A298" s="5" t="s">
        <v>34</v>
      </c>
      <c r="B298" s="6" t="s">
        <v>1831</v>
      </c>
      <c r="C298" s="5" t="s">
        <v>1832</v>
      </c>
      <c r="D298" s="5" t="s">
        <v>509</v>
      </c>
      <c r="E298" s="5" t="s">
        <v>1810</v>
      </c>
      <c r="F298" s="5" t="s">
        <v>1811</v>
      </c>
      <c r="G298" s="5" t="s">
        <v>1496</v>
      </c>
      <c r="H298" s="5"/>
      <c r="I298" s="5"/>
      <c r="J298" s="5"/>
      <c r="K298" s="5" t="s">
        <v>1833</v>
      </c>
      <c r="L298" s="5"/>
      <c r="M298" s="5" t="s">
        <v>1813</v>
      </c>
      <c r="N298" s="5" t="s">
        <v>1834</v>
      </c>
      <c r="O298" s="6" t="s">
        <v>1835</v>
      </c>
    </row>
    <row r="299" customFormat="false" ht="23.85" hidden="false" customHeight="false" outlineLevel="0" collapsed="false">
      <c r="A299" s="5" t="s">
        <v>34</v>
      </c>
      <c r="B299" s="6" t="s">
        <v>1836</v>
      </c>
      <c r="C299" s="5" t="s">
        <v>1837</v>
      </c>
      <c r="D299" s="5" t="s">
        <v>509</v>
      </c>
      <c r="E299" s="5" t="s">
        <v>1810</v>
      </c>
      <c r="F299" s="5" t="s">
        <v>1811</v>
      </c>
      <c r="G299" s="5" t="s">
        <v>1496</v>
      </c>
      <c r="H299" s="5"/>
      <c r="I299" s="5"/>
      <c r="J299" s="5"/>
      <c r="K299" s="5" t="s">
        <v>1838</v>
      </c>
      <c r="L299" s="5"/>
      <c r="M299" s="5" t="s">
        <v>1813</v>
      </c>
      <c r="N299" s="5" t="s">
        <v>1839</v>
      </c>
      <c r="O299" s="6" t="s">
        <v>1840</v>
      </c>
    </row>
    <row r="300" customFormat="false" ht="23.85" hidden="false" customHeight="false" outlineLevel="0" collapsed="false">
      <c r="A300" s="5" t="s">
        <v>34</v>
      </c>
      <c r="B300" s="6" t="s">
        <v>1841</v>
      </c>
      <c r="C300" s="5" t="s">
        <v>1842</v>
      </c>
      <c r="D300" s="5" t="s">
        <v>509</v>
      </c>
      <c r="E300" s="5" t="s">
        <v>1810</v>
      </c>
      <c r="F300" s="5" t="s">
        <v>1811</v>
      </c>
      <c r="G300" s="5" t="s">
        <v>1496</v>
      </c>
      <c r="H300" s="5"/>
      <c r="I300" s="5"/>
      <c r="J300" s="5"/>
      <c r="K300" s="5" t="s">
        <v>1843</v>
      </c>
      <c r="L300" s="5"/>
      <c r="M300" s="5" t="s">
        <v>1813</v>
      </c>
      <c r="N300" s="5" t="s">
        <v>1844</v>
      </c>
      <c r="O300" s="6" t="s">
        <v>1845</v>
      </c>
    </row>
    <row r="301" customFormat="false" ht="23.85" hidden="false" customHeight="false" outlineLevel="0" collapsed="false">
      <c r="A301" s="5" t="s">
        <v>34</v>
      </c>
      <c r="B301" s="6" t="s">
        <v>1846</v>
      </c>
      <c r="C301" s="5" t="s">
        <v>1847</v>
      </c>
      <c r="D301" s="5" t="s">
        <v>509</v>
      </c>
      <c r="E301" s="5" t="s">
        <v>1810</v>
      </c>
      <c r="F301" s="5" t="s">
        <v>1811</v>
      </c>
      <c r="G301" s="5" t="s">
        <v>1496</v>
      </c>
      <c r="H301" s="5"/>
      <c r="I301" s="5"/>
      <c r="J301" s="5"/>
      <c r="K301" s="5" t="s">
        <v>1848</v>
      </c>
      <c r="L301" s="5"/>
      <c r="M301" s="5" t="s">
        <v>1813</v>
      </c>
      <c r="N301" s="5" t="s">
        <v>1849</v>
      </c>
      <c r="O301" s="6" t="s">
        <v>1850</v>
      </c>
    </row>
    <row r="302" customFormat="false" ht="23.85" hidden="false" customHeight="false" outlineLevel="0" collapsed="false">
      <c r="A302" s="5" t="s">
        <v>34</v>
      </c>
      <c r="B302" s="6" t="s">
        <v>1851</v>
      </c>
      <c r="C302" s="5" t="s">
        <v>1852</v>
      </c>
      <c r="D302" s="5" t="s">
        <v>509</v>
      </c>
      <c r="E302" s="5" t="s">
        <v>1810</v>
      </c>
      <c r="F302" s="5" t="s">
        <v>1811</v>
      </c>
      <c r="G302" s="5" t="s">
        <v>1496</v>
      </c>
      <c r="H302" s="5"/>
      <c r="I302" s="5"/>
      <c r="J302" s="5"/>
      <c r="K302" s="5" t="s">
        <v>1853</v>
      </c>
      <c r="L302" s="5"/>
      <c r="M302" s="5" t="s">
        <v>1813</v>
      </c>
      <c r="N302" s="5" t="s">
        <v>1854</v>
      </c>
      <c r="O302" s="6" t="s">
        <v>1855</v>
      </c>
    </row>
    <row r="303" customFormat="false" ht="23.85" hidden="false" customHeight="false" outlineLevel="0" collapsed="false">
      <c r="A303" s="5" t="s">
        <v>34</v>
      </c>
      <c r="B303" s="6" t="s">
        <v>1856</v>
      </c>
      <c r="C303" s="5" t="s">
        <v>1857</v>
      </c>
      <c r="D303" s="5" t="s">
        <v>509</v>
      </c>
      <c r="E303" s="5" t="s">
        <v>1810</v>
      </c>
      <c r="F303" s="5" t="s">
        <v>1811</v>
      </c>
      <c r="G303" s="5" t="s">
        <v>1496</v>
      </c>
      <c r="H303" s="5"/>
      <c r="I303" s="5"/>
      <c r="J303" s="5"/>
      <c r="K303" s="5" t="s">
        <v>1858</v>
      </c>
      <c r="L303" s="5"/>
      <c r="M303" s="5" t="s">
        <v>1813</v>
      </c>
      <c r="N303" s="5" t="s">
        <v>1859</v>
      </c>
      <c r="O303" s="6" t="s">
        <v>1860</v>
      </c>
    </row>
    <row r="304" customFormat="false" ht="23.85" hidden="false" customHeight="false" outlineLevel="0" collapsed="false">
      <c r="A304" s="5" t="s">
        <v>34</v>
      </c>
      <c r="B304" s="6" t="s">
        <v>1861</v>
      </c>
      <c r="C304" s="5" t="s">
        <v>1862</v>
      </c>
      <c r="D304" s="5" t="s">
        <v>509</v>
      </c>
      <c r="E304" s="5" t="s">
        <v>1810</v>
      </c>
      <c r="F304" s="5" t="s">
        <v>1811</v>
      </c>
      <c r="G304" s="5" t="s">
        <v>1496</v>
      </c>
      <c r="H304" s="5"/>
      <c r="I304" s="5"/>
      <c r="J304" s="5"/>
      <c r="K304" s="5" t="s">
        <v>1863</v>
      </c>
      <c r="L304" s="5"/>
      <c r="M304" s="5" t="s">
        <v>1813</v>
      </c>
      <c r="N304" s="5" t="s">
        <v>1864</v>
      </c>
      <c r="O304" s="6" t="s">
        <v>1865</v>
      </c>
    </row>
    <row r="305" customFormat="false" ht="23.85" hidden="false" customHeight="false" outlineLevel="0" collapsed="false">
      <c r="A305" s="5" t="s">
        <v>34</v>
      </c>
      <c r="B305" s="6" t="s">
        <v>1866</v>
      </c>
      <c r="C305" s="5" t="s">
        <v>1867</v>
      </c>
      <c r="D305" s="5" t="s">
        <v>509</v>
      </c>
      <c r="E305" s="5" t="s">
        <v>1810</v>
      </c>
      <c r="F305" s="5" t="s">
        <v>1811</v>
      </c>
      <c r="G305" s="5" t="s">
        <v>1496</v>
      </c>
      <c r="H305" s="5"/>
      <c r="I305" s="5"/>
      <c r="J305" s="5"/>
      <c r="K305" s="5" t="s">
        <v>1868</v>
      </c>
      <c r="L305" s="5"/>
      <c r="M305" s="5" t="s">
        <v>1813</v>
      </c>
      <c r="N305" s="5" t="s">
        <v>1869</v>
      </c>
      <c r="O305" s="6" t="s">
        <v>1870</v>
      </c>
    </row>
    <row r="306" customFormat="false" ht="23.85" hidden="false" customHeight="false" outlineLevel="0" collapsed="false">
      <c r="A306" s="5" t="s">
        <v>34</v>
      </c>
      <c r="B306" s="6" t="s">
        <v>1871</v>
      </c>
      <c r="C306" s="5" t="s">
        <v>1872</v>
      </c>
      <c r="D306" s="5" t="s">
        <v>509</v>
      </c>
      <c r="E306" s="5" t="s">
        <v>1810</v>
      </c>
      <c r="F306" s="5" t="s">
        <v>1811</v>
      </c>
      <c r="G306" s="5" t="s">
        <v>1496</v>
      </c>
      <c r="H306" s="5"/>
      <c r="I306" s="5"/>
      <c r="J306" s="5"/>
      <c r="K306" s="5" t="s">
        <v>1873</v>
      </c>
      <c r="L306" s="5"/>
      <c r="M306" s="5" t="s">
        <v>1813</v>
      </c>
      <c r="N306" s="5" t="s">
        <v>1874</v>
      </c>
      <c r="O306" s="6" t="s">
        <v>1875</v>
      </c>
    </row>
    <row r="307" customFormat="false" ht="23.85" hidden="false" customHeight="false" outlineLevel="0" collapsed="false">
      <c r="A307" s="5" t="s">
        <v>34</v>
      </c>
      <c r="B307" s="6" t="s">
        <v>1876</v>
      </c>
      <c r="C307" s="5" t="s">
        <v>1877</v>
      </c>
      <c r="D307" s="5" t="s">
        <v>509</v>
      </c>
      <c r="E307" s="5" t="s">
        <v>1810</v>
      </c>
      <c r="F307" s="5" t="s">
        <v>1811</v>
      </c>
      <c r="G307" s="5" t="s">
        <v>1496</v>
      </c>
      <c r="H307" s="5"/>
      <c r="I307" s="5"/>
      <c r="J307" s="5"/>
      <c r="K307" s="5" t="s">
        <v>1878</v>
      </c>
      <c r="L307" s="5"/>
      <c r="M307" s="5" t="s">
        <v>1813</v>
      </c>
      <c r="N307" s="5" t="s">
        <v>1879</v>
      </c>
      <c r="O307" s="6" t="s">
        <v>1880</v>
      </c>
    </row>
    <row r="308" customFormat="false" ht="23.85" hidden="false" customHeight="false" outlineLevel="0" collapsed="false">
      <c r="A308" s="5" t="s">
        <v>34</v>
      </c>
      <c r="B308" s="6" t="s">
        <v>1881</v>
      </c>
      <c r="C308" s="5" t="s">
        <v>1882</v>
      </c>
      <c r="D308" s="5" t="s">
        <v>509</v>
      </c>
      <c r="E308" s="5" t="s">
        <v>1810</v>
      </c>
      <c r="F308" s="5" t="s">
        <v>1811</v>
      </c>
      <c r="G308" s="5" t="s">
        <v>1496</v>
      </c>
      <c r="H308" s="5"/>
      <c r="I308" s="5"/>
      <c r="J308" s="5"/>
      <c r="K308" s="5" t="s">
        <v>1883</v>
      </c>
      <c r="L308" s="5"/>
      <c r="M308" s="5" t="s">
        <v>1813</v>
      </c>
      <c r="N308" s="5" t="s">
        <v>1884</v>
      </c>
      <c r="O308" s="6" t="s">
        <v>1885</v>
      </c>
    </row>
    <row r="309" customFormat="false" ht="23.85" hidden="false" customHeight="false" outlineLevel="0" collapsed="false">
      <c r="A309" s="5" t="s">
        <v>34</v>
      </c>
      <c r="B309" s="6" t="s">
        <v>1886</v>
      </c>
      <c r="C309" s="5" t="s">
        <v>1887</v>
      </c>
      <c r="D309" s="5" t="s">
        <v>509</v>
      </c>
      <c r="E309" s="5" t="s">
        <v>1810</v>
      </c>
      <c r="F309" s="5" t="s">
        <v>1811</v>
      </c>
      <c r="G309" s="5" t="s">
        <v>1496</v>
      </c>
      <c r="H309" s="5"/>
      <c r="I309" s="5"/>
      <c r="J309" s="5"/>
      <c r="K309" s="5" t="s">
        <v>1888</v>
      </c>
      <c r="L309" s="5"/>
      <c r="M309" s="5" t="s">
        <v>1813</v>
      </c>
      <c r="N309" s="5" t="s">
        <v>1889</v>
      </c>
      <c r="O309" s="6" t="s">
        <v>1890</v>
      </c>
    </row>
    <row r="310" customFormat="false" ht="23.85" hidden="false" customHeight="false" outlineLevel="0" collapsed="false">
      <c r="A310" s="5" t="s">
        <v>34</v>
      </c>
      <c r="B310" s="6" t="s">
        <v>1891</v>
      </c>
      <c r="C310" s="5" t="s">
        <v>1892</v>
      </c>
      <c r="D310" s="5" t="s">
        <v>509</v>
      </c>
      <c r="E310" s="5" t="s">
        <v>1810</v>
      </c>
      <c r="F310" s="5" t="s">
        <v>1811</v>
      </c>
      <c r="G310" s="5" t="s">
        <v>1496</v>
      </c>
      <c r="H310" s="5"/>
      <c r="I310" s="5"/>
      <c r="J310" s="5"/>
      <c r="K310" s="5" t="s">
        <v>1893</v>
      </c>
      <c r="L310" s="5"/>
      <c r="M310" s="5" t="s">
        <v>1813</v>
      </c>
      <c r="N310" s="5" t="s">
        <v>1894</v>
      </c>
      <c r="O310" s="6" t="s">
        <v>1895</v>
      </c>
    </row>
    <row r="311" customFormat="false" ht="23.85" hidden="false" customHeight="false" outlineLevel="0" collapsed="false">
      <c r="A311" s="5" t="s">
        <v>34</v>
      </c>
      <c r="B311" s="6" t="s">
        <v>1896</v>
      </c>
      <c r="C311" s="5" t="s">
        <v>1897</v>
      </c>
      <c r="D311" s="5" t="s">
        <v>509</v>
      </c>
      <c r="E311" s="5" t="s">
        <v>1810</v>
      </c>
      <c r="F311" s="5" t="s">
        <v>1811</v>
      </c>
      <c r="G311" s="5" t="s">
        <v>1496</v>
      </c>
      <c r="H311" s="5"/>
      <c r="I311" s="5"/>
      <c r="J311" s="5"/>
      <c r="K311" s="5" t="s">
        <v>1898</v>
      </c>
      <c r="L311" s="5"/>
      <c r="M311" s="5" t="s">
        <v>1813</v>
      </c>
      <c r="N311" s="5" t="s">
        <v>1899</v>
      </c>
      <c r="O311" s="6" t="s">
        <v>1900</v>
      </c>
    </row>
    <row r="312" customFormat="false" ht="23.85" hidden="false" customHeight="false" outlineLevel="0" collapsed="false">
      <c r="A312" s="5" t="s">
        <v>34</v>
      </c>
      <c r="B312" s="6" t="s">
        <v>1901</v>
      </c>
      <c r="C312" s="5" t="s">
        <v>1902</v>
      </c>
      <c r="D312" s="5" t="s">
        <v>509</v>
      </c>
      <c r="E312" s="5" t="s">
        <v>1810</v>
      </c>
      <c r="F312" s="5" t="s">
        <v>1811</v>
      </c>
      <c r="G312" s="5" t="s">
        <v>1496</v>
      </c>
      <c r="H312" s="5"/>
      <c r="I312" s="5"/>
      <c r="J312" s="5"/>
      <c r="K312" s="5" t="s">
        <v>1903</v>
      </c>
      <c r="L312" s="5"/>
      <c r="M312" s="5" t="s">
        <v>1813</v>
      </c>
      <c r="N312" s="5" t="s">
        <v>1904</v>
      </c>
      <c r="O312" s="6" t="s">
        <v>1905</v>
      </c>
    </row>
    <row r="313" customFormat="false" ht="23.85" hidden="false" customHeight="false" outlineLevel="0" collapsed="false">
      <c r="A313" s="5" t="s">
        <v>34</v>
      </c>
      <c r="B313" s="6" t="s">
        <v>1906</v>
      </c>
      <c r="C313" s="5" t="s">
        <v>1907</v>
      </c>
      <c r="D313" s="5" t="s">
        <v>509</v>
      </c>
      <c r="E313" s="5" t="s">
        <v>1810</v>
      </c>
      <c r="F313" s="5" t="s">
        <v>1811</v>
      </c>
      <c r="G313" s="5" t="s">
        <v>1496</v>
      </c>
      <c r="H313" s="5"/>
      <c r="I313" s="5"/>
      <c r="J313" s="5"/>
      <c r="K313" s="5" t="s">
        <v>1908</v>
      </c>
      <c r="L313" s="5"/>
      <c r="M313" s="5" t="s">
        <v>1813</v>
      </c>
      <c r="N313" s="5" t="s">
        <v>1909</v>
      </c>
      <c r="O313" s="6" t="s">
        <v>1910</v>
      </c>
    </row>
    <row r="314" customFormat="false" ht="23.85" hidden="false" customHeight="false" outlineLevel="0" collapsed="false">
      <c r="A314" s="5" t="s">
        <v>34</v>
      </c>
      <c r="B314" s="6" t="s">
        <v>1911</v>
      </c>
      <c r="C314" s="5" t="s">
        <v>1912</v>
      </c>
      <c r="D314" s="5" t="s">
        <v>509</v>
      </c>
      <c r="E314" s="5" t="s">
        <v>1810</v>
      </c>
      <c r="F314" s="5" t="s">
        <v>1811</v>
      </c>
      <c r="G314" s="5" t="s">
        <v>1496</v>
      </c>
      <c r="H314" s="5"/>
      <c r="I314" s="5"/>
      <c r="J314" s="5"/>
      <c r="K314" s="5" t="s">
        <v>1913</v>
      </c>
      <c r="L314" s="5"/>
      <c r="M314" s="5" t="s">
        <v>1813</v>
      </c>
      <c r="N314" s="5" t="s">
        <v>1914</v>
      </c>
      <c r="O314" s="6" t="s">
        <v>1915</v>
      </c>
    </row>
    <row r="315" customFormat="false" ht="23.85" hidden="false" customHeight="false" outlineLevel="0" collapsed="false">
      <c r="A315" s="5" t="s">
        <v>34</v>
      </c>
      <c r="B315" s="6" t="s">
        <v>1916</v>
      </c>
      <c r="C315" s="5" t="s">
        <v>1917</v>
      </c>
      <c r="D315" s="5" t="s">
        <v>509</v>
      </c>
      <c r="E315" s="5" t="s">
        <v>1810</v>
      </c>
      <c r="F315" s="5" t="s">
        <v>1811</v>
      </c>
      <c r="G315" s="5" t="s">
        <v>1496</v>
      </c>
      <c r="H315" s="5"/>
      <c r="I315" s="5"/>
      <c r="J315" s="5"/>
      <c r="K315" s="5" t="s">
        <v>1918</v>
      </c>
      <c r="L315" s="5"/>
      <c r="M315" s="5" t="s">
        <v>1813</v>
      </c>
      <c r="N315" s="5" t="s">
        <v>1919</v>
      </c>
      <c r="O315" s="6" t="s">
        <v>1920</v>
      </c>
    </row>
    <row r="316" customFormat="false" ht="23.85" hidden="false" customHeight="false" outlineLevel="0" collapsed="false">
      <c r="A316" s="5" t="s">
        <v>34</v>
      </c>
      <c r="B316" s="6" t="s">
        <v>1921</v>
      </c>
      <c r="C316" s="5" t="s">
        <v>1922</v>
      </c>
      <c r="D316" s="5" t="s">
        <v>509</v>
      </c>
      <c r="E316" s="5" t="s">
        <v>1810</v>
      </c>
      <c r="F316" s="5" t="s">
        <v>1811</v>
      </c>
      <c r="G316" s="5" t="s">
        <v>1496</v>
      </c>
      <c r="H316" s="5"/>
      <c r="I316" s="5"/>
      <c r="J316" s="5"/>
      <c r="K316" s="5" t="s">
        <v>1923</v>
      </c>
      <c r="L316" s="5"/>
      <c r="M316" s="5" t="s">
        <v>1813</v>
      </c>
      <c r="N316" s="5" t="s">
        <v>1924</v>
      </c>
      <c r="O316" s="6" t="s">
        <v>1925</v>
      </c>
    </row>
    <row r="317" customFormat="false" ht="23.85" hidden="false" customHeight="false" outlineLevel="0" collapsed="false">
      <c r="A317" s="5" t="s">
        <v>34</v>
      </c>
      <c r="B317" s="6" t="s">
        <v>1926</v>
      </c>
      <c r="C317" s="5" t="s">
        <v>1927</v>
      </c>
      <c r="D317" s="5" t="s">
        <v>509</v>
      </c>
      <c r="E317" s="5" t="s">
        <v>1810</v>
      </c>
      <c r="F317" s="5" t="s">
        <v>1811</v>
      </c>
      <c r="G317" s="5" t="s">
        <v>1496</v>
      </c>
      <c r="H317" s="5"/>
      <c r="I317" s="5"/>
      <c r="J317" s="5"/>
      <c r="K317" s="5" t="s">
        <v>1928</v>
      </c>
      <c r="L317" s="5"/>
      <c r="M317" s="5" t="s">
        <v>1813</v>
      </c>
      <c r="N317" s="5" t="s">
        <v>1929</v>
      </c>
      <c r="O317" s="6" t="s">
        <v>1930</v>
      </c>
    </row>
    <row r="318" customFormat="false" ht="23.85" hidden="false" customHeight="false" outlineLevel="0" collapsed="false">
      <c r="A318" s="5" t="s">
        <v>34</v>
      </c>
      <c r="B318" s="6" t="s">
        <v>1931</v>
      </c>
      <c r="C318" s="5" t="s">
        <v>1932</v>
      </c>
      <c r="D318" s="5" t="s">
        <v>509</v>
      </c>
      <c r="E318" s="5" t="s">
        <v>1810</v>
      </c>
      <c r="F318" s="5" t="s">
        <v>1811</v>
      </c>
      <c r="G318" s="5" t="s">
        <v>1496</v>
      </c>
      <c r="H318" s="5"/>
      <c r="I318" s="5"/>
      <c r="J318" s="5"/>
      <c r="K318" s="5" t="s">
        <v>1933</v>
      </c>
      <c r="L318" s="5"/>
      <c r="M318" s="5" t="s">
        <v>1813</v>
      </c>
      <c r="N318" s="5" t="s">
        <v>1934</v>
      </c>
      <c r="O318" s="6" t="s">
        <v>1935</v>
      </c>
    </row>
    <row r="319" customFormat="false" ht="23.85" hidden="false" customHeight="false" outlineLevel="0" collapsed="false">
      <c r="A319" s="5" t="s">
        <v>34</v>
      </c>
      <c r="B319" s="6" t="s">
        <v>1936</v>
      </c>
      <c r="C319" s="5" t="s">
        <v>1937</v>
      </c>
      <c r="D319" s="5" t="s">
        <v>509</v>
      </c>
      <c r="E319" s="5" t="s">
        <v>1810</v>
      </c>
      <c r="F319" s="5" t="s">
        <v>1811</v>
      </c>
      <c r="G319" s="5" t="s">
        <v>1496</v>
      </c>
      <c r="H319" s="5"/>
      <c r="I319" s="5"/>
      <c r="J319" s="5"/>
      <c r="K319" s="5" t="s">
        <v>1938</v>
      </c>
      <c r="L319" s="5"/>
      <c r="M319" s="5" t="s">
        <v>1813</v>
      </c>
      <c r="N319" s="5" t="s">
        <v>1939</v>
      </c>
      <c r="O319" s="6" t="s">
        <v>1940</v>
      </c>
    </row>
    <row r="320" customFormat="false" ht="23.85" hidden="false" customHeight="false" outlineLevel="0" collapsed="false">
      <c r="A320" s="5" t="s">
        <v>34</v>
      </c>
      <c r="B320" s="6" t="s">
        <v>1941</v>
      </c>
      <c r="C320" s="5" t="s">
        <v>1942</v>
      </c>
      <c r="D320" s="5" t="s">
        <v>509</v>
      </c>
      <c r="E320" s="5" t="s">
        <v>1810</v>
      </c>
      <c r="F320" s="5" t="s">
        <v>1811</v>
      </c>
      <c r="G320" s="5" t="s">
        <v>1496</v>
      </c>
      <c r="H320" s="5"/>
      <c r="I320" s="5"/>
      <c r="J320" s="5"/>
      <c r="K320" s="5" t="s">
        <v>1943</v>
      </c>
      <c r="L320" s="5"/>
      <c r="M320" s="5" t="s">
        <v>1813</v>
      </c>
      <c r="N320" s="5" t="s">
        <v>1944</v>
      </c>
      <c r="O320" s="6" t="s">
        <v>1945</v>
      </c>
    </row>
    <row r="321" customFormat="false" ht="23.85" hidden="false" customHeight="false" outlineLevel="0" collapsed="false">
      <c r="A321" s="5" t="s">
        <v>34</v>
      </c>
      <c r="B321" s="6" t="s">
        <v>1946</v>
      </c>
      <c r="C321" s="5" t="s">
        <v>1947</v>
      </c>
      <c r="D321" s="5" t="s">
        <v>509</v>
      </c>
      <c r="E321" s="5" t="s">
        <v>1810</v>
      </c>
      <c r="F321" s="5" t="s">
        <v>1811</v>
      </c>
      <c r="G321" s="5" t="s">
        <v>1496</v>
      </c>
      <c r="H321" s="5"/>
      <c r="I321" s="5"/>
      <c r="J321" s="5"/>
      <c r="K321" s="5" t="s">
        <v>1948</v>
      </c>
      <c r="L321" s="5"/>
      <c r="M321" s="5" t="s">
        <v>1813</v>
      </c>
      <c r="N321" s="5" t="s">
        <v>1949</v>
      </c>
      <c r="O321" s="6" t="s">
        <v>1950</v>
      </c>
    </row>
    <row r="322" customFormat="false" ht="23.85" hidden="false" customHeight="false" outlineLevel="0" collapsed="false">
      <c r="A322" s="5" t="s">
        <v>34</v>
      </c>
      <c r="B322" s="6" t="s">
        <v>1951</v>
      </c>
      <c r="C322" s="5" t="s">
        <v>1952</v>
      </c>
      <c r="D322" s="5" t="s">
        <v>509</v>
      </c>
      <c r="E322" s="5" t="s">
        <v>1810</v>
      </c>
      <c r="F322" s="5" t="s">
        <v>1811</v>
      </c>
      <c r="G322" s="5" t="s">
        <v>1496</v>
      </c>
      <c r="H322" s="5"/>
      <c r="I322" s="5"/>
      <c r="J322" s="5"/>
      <c r="K322" s="5" t="s">
        <v>1953</v>
      </c>
      <c r="L322" s="5"/>
      <c r="M322" s="5" t="s">
        <v>1813</v>
      </c>
      <c r="N322" s="5" t="s">
        <v>1954</v>
      </c>
      <c r="O322" s="6" t="s">
        <v>1955</v>
      </c>
    </row>
    <row r="323" customFormat="false" ht="23.85" hidden="false" customHeight="false" outlineLevel="0" collapsed="false">
      <c r="A323" s="5" t="s">
        <v>34</v>
      </c>
      <c r="B323" s="6" t="s">
        <v>1956</v>
      </c>
      <c r="C323" s="5" t="s">
        <v>1957</v>
      </c>
      <c r="D323" s="5" t="s">
        <v>509</v>
      </c>
      <c r="E323" s="5" t="s">
        <v>1810</v>
      </c>
      <c r="F323" s="5" t="s">
        <v>1811</v>
      </c>
      <c r="G323" s="5" t="s">
        <v>1496</v>
      </c>
      <c r="H323" s="5"/>
      <c r="I323" s="5"/>
      <c r="J323" s="5"/>
      <c r="K323" s="5" t="s">
        <v>1958</v>
      </c>
      <c r="L323" s="5"/>
      <c r="M323" s="5" t="s">
        <v>1813</v>
      </c>
      <c r="N323" s="5" t="s">
        <v>1959</v>
      </c>
      <c r="O323" s="6" t="s">
        <v>1960</v>
      </c>
    </row>
    <row r="324" customFormat="false" ht="23.85" hidden="false" customHeight="false" outlineLevel="0" collapsed="false">
      <c r="A324" s="5" t="s">
        <v>34</v>
      </c>
      <c r="B324" s="6" t="s">
        <v>1961</v>
      </c>
      <c r="C324" s="5" t="s">
        <v>1962</v>
      </c>
      <c r="D324" s="5" t="s">
        <v>509</v>
      </c>
      <c r="E324" s="5" t="s">
        <v>1810</v>
      </c>
      <c r="F324" s="5" t="s">
        <v>1811</v>
      </c>
      <c r="G324" s="5" t="s">
        <v>1496</v>
      </c>
      <c r="H324" s="5"/>
      <c r="I324" s="5"/>
      <c r="J324" s="5"/>
      <c r="K324" s="5" t="s">
        <v>1963</v>
      </c>
      <c r="L324" s="5"/>
      <c r="M324" s="5" t="s">
        <v>1813</v>
      </c>
      <c r="N324" s="5" t="s">
        <v>1964</v>
      </c>
      <c r="O324" s="6" t="s">
        <v>1965</v>
      </c>
    </row>
    <row r="325" customFormat="false" ht="23.85" hidden="false" customHeight="false" outlineLevel="0" collapsed="false">
      <c r="A325" s="5" t="s">
        <v>34</v>
      </c>
      <c r="B325" s="6" t="s">
        <v>1966</v>
      </c>
      <c r="C325" s="5" t="s">
        <v>1967</v>
      </c>
      <c r="D325" s="5" t="s">
        <v>509</v>
      </c>
      <c r="E325" s="5" t="s">
        <v>1810</v>
      </c>
      <c r="F325" s="5" t="s">
        <v>1811</v>
      </c>
      <c r="G325" s="5" t="s">
        <v>1496</v>
      </c>
      <c r="H325" s="5"/>
      <c r="I325" s="5"/>
      <c r="J325" s="5"/>
      <c r="K325" s="5" t="s">
        <v>1968</v>
      </c>
      <c r="L325" s="5"/>
      <c r="M325" s="5" t="s">
        <v>1813</v>
      </c>
      <c r="N325" s="5" t="s">
        <v>1969</v>
      </c>
      <c r="O325" s="6" t="s">
        <v>1970</v>
      </c>
    </row>
    <row r="326" customFormat="false" ht="23.85" hidden="false" customHeight="false" outlineLevel="0" collapsed="false">
      <c r="A326" s="5" t="s">
        <v>34</v>
      </c>
      <c r="B326" s="6" t="s">
        <v>1971</v>
      </c>
      <c r="C326" s="5" t="s">
        <v>1972</v>
      </c>
      <c r="D326" s="5" t="s">
        <v>509</v>
      </c>
      <c r="E326" s="5" t="s">
        <v>1810</v>
      </c>
      <c r="F326" s="5" t="s">
        <v>1811</v>
      </c>
      <c r="G326" s="5" t="s">
        <v>1496</v>
      </c>
      <c r="H326" s="5"/>
      <c r="I326" s="5"/>
      <c r="J326" s="5"/>
      <c r="K326" s="5" t="s">
        <v>1973</v>
      </c>
      <c r="L326" s="5"/>
      <c r="M326" s="5" t="s">
        <v>1813</v>
      </c>
      <c r="N326" s="5" t="s">
        <v>1974</v>
      </c>
      <c r="O326" s="6" t="s">
        <v>1975</v>
      </c>
    </row>
    <row r="327" customFormat="false" ht="23.85" hidden="false" customHeight="false" outlineLevel="0" collapsed="false">
      <c r="A327" s="5" t="s">
        <v>34</v>
      </c>
      <c r="B327" s="6" t="s">
        <v>1976</v>
      </c>
      <c r="C327" s="5" t="s">
        <v>1977</v>
      </c>
      <c r="D327" s="5" t="s">
        <v>509</v>
      </c>
      <c r="E327" s="5" t="s">
        <v>1810</v>
      </c>
      <c r="F327" s="5" t="s">
        <v>1811</v>
      </c>
      <c r="G327" s="5" t="s">
        <v>1496</v>
      </c>
      <c r="H327" s="5"/>
      <c r="I327" s="5"/>
      <c r="J327" s="5"/>
      <c r="K327" s="5" t="s">
        <v>1978</v>
      </c>
      <c r="L327" s="5"/>
      <c r="M327" s="5" t="s">
        <v>1813</v>
      </c>
      <c r="N327" s="5" t="s">
        <v>1979</v>
      </c>
      <c r="O327" s="6" t="s">
        <v>1980</v>
      </c>
    </row>
    <row r="328" customFormat="false" ht="23.85" hidden="false" customHeight="false" outlineLevel="0" collapsed="false">
      <c r="A328" s="5" t="s">
        <v>34</v>
      </c>
      <c r="B328" s="6" t="s">
        <v>1981</v>
      </c>
      <c r="C328" s="5" t="s">
        <v>1982</v>
      </c>
      <c r="D328" s="5" t="s">
        <v>509</v>
      </c>
      <c r="E328" s="5" t="s">
        <v>1810</v>
      </c>
      <c r="F328" s="5" t="s">
        <v>1811</v>
      </c>
      <c r="G328" s="5" t="s">
        <v>1496</v>
      </c>
      <c r="H328" s="5"/>
      <c r="I328" s="5"/>
      <c r="J328" s="5"/>
      <c r="K328" s="5" t="s">
        <v>1983</v>
      </c>
      <c r="L328" s="5"/>
      <c r="M328" s="5" t="s">
        <v>1813</v>
      </c>
      <c r="N328" s="5" t="s">
        <v>1984</v>
      </c>
      <c r="O328" s="6" t="s">
        <v>1985</v>
      </c>
    </row>
    <row r="329" customFormat="false" ht="23.85" hidden="false" customHeight="false" outlineLevel="0" collapsed="false">
      <c r="A329" s="5" t="s">
        <v>34</v>
      </c>
      <c r="B329" s="6" t="s">
        <v>1986</v>
      </c>
      <c r="C329" s="5" t="s">
        <v>1987</v>
      </c>
      <c r="D329" s="5" t="s">
        <v>509</v>
      </c>
      <c r="E329" s="5" t="s">
        <v>1810</v>
      </c>
      <c r="F329" s="5" t="s">
        <v>1811</v>
      </c>
      <c r="G329" s="5" t="s">
        <v>1496</v>
      </c>
      <c r="H329" s="5"/>
      <c r="I329" s="5"/>
      <c r="J329" s="5"/>
      <c r="K329" s="5" t="s">
        <v>1988</v>
      </c>
      <c r="L329" s="5"/>
      <c r="M329" s="5" t="s">
        <v>1813</v>
      </c>
      <c r="N329" s="5" t="s">
        <v>1989</v>
      </c>
      <c r="O329" s="6" t="s">
        <v>1990</v>
      </c>
    </row>
    <row r="330" customFormat="false" ht="23.85" hidden="false" customHeight="false" outlineLevel="0" collapsed="false">
      <c r="A330" s="5" t="s">
        <v>34</v>
      </c>
      <c r="B330" s="6" t="s">
        <v>1991</v>
      </c>
      <c r="C330" s="5" t="s">
        <v>1992</v>
      </c>
      <c r="D330" s="5" t="s">
        <v>509</v>
      </c>
      <c r="E330" s="5" t="s">
        <v>1810</v>
      </c>
      <c r="F330" s="5" t="s">
        <v>1811</v>
      </c>
      <c r="G330" s="5" t="s">
        <v>1496</v>
      </c>
      <c r="H330" s="5"/>
      <c r="I330" s="5"/>
      <c r="J330" s="5"/>
      <c r="K330" s="5" t="s">
        <v>1993</v>
      </c>
      <c r="L330" s="5"/>
      <c r="M330" s="5" t="s">
        <v>1813</v>
      </c>
      <c r="N330" s="5" t="s">
        <v>1994</v>
      </c>
      <c r="O330" s="6" t="s">
        <v>1995</v>
      </c>
    </row>
    <row r="331" customFormat="false" ht="23.85" hidden="false" customHeight="false" outlineLevel="0" collapsed="false">
      <c r="A331" s="5" t="s">
        <v>34</v>
      </c>
      <c r="B331" s="6" t="s">
        <v>1996</v>
      </c>
      <c r="C331" s="5" t="s">
        <v>1997</v>
      </c>
      <c r="D331" s="5" t="s">
        <v>509</v>
      </c>
      <c r="E331" s="5" t="s">
        <v>1810</v>
      </c>
      <c r="F331" s="5" t="s">
        <v>1811</v>
      </c>
      <c r="G331" s="5" t="s">
        <v>1496</v>
      </c>
      <c r="H331" s="5"/>
      <c r="I331" s="5"/>
      <c r="J331" s="5"/>
      <c r="K331" s="5" t="s">
        <v>1998</v>
      </c>
      <c r="L331" s="5"/>
      <c r="M331" s="5" t="s">
        <v>1813</v>
      </c>
      <c r="N331" s="5" t="s">
        <v>1999</v>
      </c>
      <c r="O331" s="6" t="s">
        <v>2000</v>
      </c>
    </row>
    <row r="332" customFormat="false" ht="23.85" hidden="false" customHeight="false" outlineLevel="0" collapsed="false">
      <c r="A332" s="5" t="s">
        <v>34</v>
      </c>
      <c r="B332" s="6" t="s">
        <v>2001</v>
      </c>
      <c r="C332" s="5" t="s">
        <v>2002</v>
      </c>
      <c r="D332" s="5" t="s">
        <v>509</v>
      </c>
      <c r="E332" s="5" t="s">
        <v>1810</v>
      </c>
      <c r="F332" s="5" t="s">
        <v>1811</v>
      </c>
      <c r="G332" s="5" t="s">
        <v>1496</v>
      </c>
      <c r="H332" s="5"/>
      <c r="I332" s="5"/>
      <c r="J332" s="5"/>
      <c r="K332" s="5" t="s">
        <v>2003</v>
      </c>
      <c r="L332" s="5"/>
      <c r="M332" s="5" t="s">
        <v>1813</v>
      </c>
      <c r="N332" s="5" t="s">
        <v>2004</v>
      </c>
      <c r="O332" s="6" t="s">
        <v>2005</v>
      </c>
    </row>
    <row r="333" customFormat="false" ht="23.85" hidden="false" customHeight="false" outlineLevel="0" collapsed="false">
      <c r="A333" s="5" t="s">
        <v>34</v>
      </c>
      <c r="B333" s="6" t="s">
        <v>2006</v>
      </c>
      <c r="C333" s="5" t="s">
        <v>2007</v>
      </c>
      <c r="D333" s="5" t="s">
        <v>509</v>
      </c>
      <c r="E333" s="5" t="s">
        <v>1810</v>
      </c>
      <c r="F333" s="5" t="s">
        <v>1811</v>
      </c>
      <c r="G333" s="5" t="s">
        <v>1496</v>
      </c>
      <c r="H333" s="5"/>
      <c r="I333" s="5"/>
      <c r="J333" s="5"/>
      <c r="K333" s="5" t="s">
        <v>2008</v>
      </c>
      <c r="L333" s="5"/>
      <c r="M333" s="5" t="s">
        <v>1813</v>
      </c>
      <c r="N333" s="5" t="s">
        <v>2009</v>
      </c>
      <c r="O333" s="6" t="s">
        <v>2010</v>
      </c>
    </row>
    <row r="334" customFormat="false" ht="23.85" hidden="false" customHeight="false" outlineLevel="0" collapsed="false">
      <c r="A334" s="5" t="s">
        <v>34</v>
      </c>
      <c r="B334" s="6" t="s">
        <v>2011</v>
      </c>
      <c r="C334" s="5" t="s">
        <v>2012</v>
      </c>
      <c r="D334" s="5" t="s">
        <v>509</v>
      </c>
      <c r="E334" s="5" t="s">
        <v>1810</v>
      </c>
      <c r="F334" s="5" t="s">
        <v>1811</v>
      </c>
      <c r="G334" s="5" t="s">
        <v>1496</v>
      </c>
      <c r="H334" s="5"/>
      <c r="I334" s="5"/>
      <c r="J334" s="5"/>
      <c r="K334" s="5" t="s">
        <v>2013</v>
      </c>
      <c r="L334" s="5"/>
      <c r="M334" s="5" t="s">
        <v>1813</v>
      </c>
      <c r="N334" s="5" t="s">
        <v>2014</v>
      </c>
      <c r="O334" s="6" t="s">
        <v>2015</v>
      </c>
    </row>
    <row r="335" customFormat="false" ht="23.85" hidden="false" customHeight="false" outlineLevel="0" collapsed="false">
      <c r="A335" s="5" t="s">
        <v>34</v>
      </c>
      <c r="B335" s="6" t="s">
        <v>2016</v>
      </c>
      <c r="C335" s="5" t="s">
        <v>2017</v>
      </c>
      <c r="D335" s="5" t="s">
        <v>509</v>
      </c>
      <c r="E335" s="5" t="s">
        <v>1810</v>
      </c>
      <c r="F335" s="5" t="s">
        <v>1811</v>
      </c>
      <c r="G335" s="5" t="s">
        <v>1496</v>
      </c>
      <c r="H335" s="5"/>
      <c r="I335" s="5"/>
      <c r="J335" s="5"/>
      <c r="K335" s="5" t="s">
        <v>2018</v>
      </c>
      <c r="L335" s="5"/>
      <c r="M335" s="5" t="s">
        <v>1813</v>
      </c>
      <c r="N335" s="5" t="s">
        <v>2019</v>
      </c>
      <c r="O335" s="6" t="s">
        <v>2020</v>
      </c>
    </row>
    <row r="336" customFormat="false" ht="23.85" hidden="false" customHeight="false" outlineLevel="0" collapsed="false">
      <c r="A336" s="5" t="s">
        <v>34</v>
      </c>
      <c r="B336" s="6" t="s">
        <v>2021</v>
      </c>
      <c r="C336" s="5" t="s">
        <v>2022</v>
      </c>
      <c r="D336" s="5" t="s">
        <v>428</v>
      </c>
      <c r="E336" s="5" t="s">
        <v>1810</v>
      </c>
      <c r="F336" s="5" t="s">
        <v>1811</v>
      </c>
      <c r="G336" s="5" t="s">
        <v>1496</v>
      </c>
      <c r="H336" s="5"/>
      <c r="I336" s="5"/>
      <c r="J336" s="5"/>
      <c r="K336" s="5" t="s">
        <v>2023</v>
      </c>
      <c r="L336" s="5"/>
      <c r="M336" s="5" t="s">
        <v>2024</v>
      </c>
      <c r="N336" s="5" t="s">
        <v>2025</v>
      </c>
      <c r="O336" s="6" t="s">
        <v>2026</v>
      </c>
    </row>
    <row r="337" customFormat="false" ht="23.85" hidden="false" customHeight="false" outlineLevel="0" collapsed="false">
      <c r="A337" s="5" t="s">
        <v>34</v>
      </c>
      <c r="B337" s="6" t="s">
        <v>2027</v>
      </c>
      <c r="C337" s="5" t="s">
        <v>2028</v>
      </c>
      <c r="D337" s="5" t="s">
        <v>428</v>
      </c>
      <c r="E337" s="5" t="s">
        <v>1810</v>
      </c>
      <c r="F337" s="5" t="s">
        <v>1811</v>
      </c>
      <c r="G337" s="5" t="s">
        <v>1496</v>
      </c>
      <c r="H337" s="5"/>
      <c r="I337" s="5"/>
      <c r="J337" s="5"/>
      <c r="K337" s="5" t="s">
        <v>2029</v>
      </c>
      <c r="L337" s="5"/>
      <c r="M337" s="5" t="s">
        <v>2024</v>
      </c>
      <c r="N337" s="5" t="s">
        <v>2030</v>
      </c>
      <c r="O337" s="6" t="s">
        <v>2031</v>
      </c>
    </row>
    <row r="338" customFormat="false" ht="23.85" hidden="false" customHeight="false" outlineLevel="0" collapsed="false">
      <c r="A338" s="5" t="s">
        <v>34</v>
      </c>
      <c r="B338" s="6" t="s">
        <v>2032</v>
      </c>
      <c r="C338" s="5" t="s">
        <v>2033</v>
      </c>
      <c r="D338" s="5" t="s">
        <v>428</v>
      </c>
      <c r="E338" s="5" t="s">
        <v>1810</v>
      </c>
      <c r="F338" s="5" t="s">
        <v>1811</v>
      </c>
      <c r="G338" s="5" t="s">
        <v>1496</v>
      </c>
      <c r="H338" s="5"/>
      <c r="I338" s="5"/>
      <c r="J338" s="5"/>
      <c r="K338" s="5" t="s">
        <v>2034</v>
      </c>
      <c r="L338" s="5"/>
      <c r="M338" s="5" t="s">
        <v>2024</v>
      </c>
      <c r="N338" s="5" t="s">
        <v>2035</v>
      </c>
      <c r="O338" s="6" t="s">
        <v>2036</v>
      </c>
    </row>
    <row r="339" customFormat="false" ht="23.85" hidden="false" customHeight="false" outlineLevel="0" collapsed="false">
      <c r="A339" s="5" t="s">
        <v>34</v>
      </c>
      <c r="B339" s="6" t="s">
        <v>2037</v>
      </c>
      <c r="C339" s="5" t="s">
        <v>2038</v>
      </c>
      <c r="D339" s="5" t="s">
        <v>428</v>
      </c>
      <c r="E339" s="5" t="s">
        <v>1810</v>
      </c>
      <c r="F339" s="5" t="s">
        <v>1811</v>
      </c>
      <c r="G339" s="5" t="s">
        <v>1496</v>
      </c>
      <c r="H339" s="5"/>
      <c r="I339" s="5"/>
      <c r="J339" s="5"/>
      <c r="K339" s="5" t="s">
        <v>2039</v>
      </c>
      <c r="L339" s="5"/>
      <c r="M339" s="5" t="s">
        <v>2024</v>
      </c>
      <c r="N339" s="5" t="s">
        <v>2040</v>
      </c>
      <c r="O339" s="6" t="s">
        <v>2041</v>
      </c>
    </row>
    <row r="340" customFormat="false" ht="23.85" hidden="false" customHeight="false" outlineLevel="0" collapsed="false">
      <c r="A340" s="5" t="s">
        <v>34</v>
      </c>
      <c r="B340" s="6" t="s">
        <v>2042</v>
      </c>
      <c r="C340" s="5" t="s">
        <v>2043</v>
      </c>
      <c r="D340" s="5" t="s">
        <v>428</v>
      </c>
      <c r="E340" s="5" t="s">
        <v>1810</v>
      </c>
      <c r="F340" s="5" t="s">
        <v>1811</v>
      </c>
      <c r="G340" s="5" t="s">
        <v>1496</v>
      </c>
      <c r="H340" s="5"/>
      <c r="I340" s="5"/>
      <c r="J340" s="5"/>
      <c r="K340" s="5" t="s">
        <v>2044</v>
      </c>
      <c r="L340" s="5"/>
      <c r="M340" s="5" t="s">
        <v>2024</v>
      </c>
      <c r="N340" s="5" t="s">
        <v>2045</v>
      </c>
      <c r="O340" s="6" t="s">
        <v>2046</v>
      </c>
    </row>
    <row r="341" customFormat="false" ht="23.85" hidden="false" customHeight="false" outlineLevel="0" collapsed="false">
      <c r="A341" s="5" t="s">
        <v>34</v>
      </c>
      <c r="B341" s="6" t="s">
        <v>2047</v>
      </c>
      <c r="C341" s="5" t="s">
        <v>2048</v>
      </c>
      <c r="D341" s="5" t="s">
        <v>428</v>
      </c>
      <c r="E341" s="5" t="s">
        <v>1810</v>
      </c>
      <c r="F341" s="5" t="s">
        <v>1811</v>
      </c>
      <c r="G341" s="5" t="s">
        <v>1496</v>
      </c>
      <c r="H341" s="5"/>
      <c r="I341" s="5"/>
      <c r="J341" s="5"/>
      <c r="K341" s="5" t="s">
        <v>2049</v>
      </c>
      <c r="L341" s="5"/>
      <c r="M341" s="5" t="s">
        <v>2024</v>
      </c>
      <c r="N341" s="5" t="s">
        <v>2050</v>
      </c>
      <c r="O341" s="6" t="s">
        <v>2051</v>
      </c>
    </row>
    <row r="342" customFormat="false" ht="23.85" hidden="false" customHeight="false" outlineLevel="0" collapsed="false">
      <c r="A342" s="5" t="s">
        <v>34</v>
      </c>
      <c r="B342" s="6" t="s">
        <v>2052</v>
      </c>
      <c r="C342" s="5" t="s">
        <v>2053</v>
      </c>
      <c r="D342" s="5" t="s">
        <v>428</v>
      </c>
      <c r="E342" s="5" t="s">
        <v>1810</v>
      </c>
      <c r="F342" s="5" t="s">
        <v>1811</v>
      </c>
      <c r="G342" s="5" t="s">
        <v>1496</v>
      </c>
      <c r="H342" s="5"/>
      <c r="I342" s="5"/>
      <c r="J342" s="5"/>
      <c r="K342" s="5" t="s">
        <v>2054</v>
      </c>
      <c r="L342" s="5"/>
      <c r="M342" s="5" t="s">
        <v>2024</v>
      </c>
      <c r="N342" s="5" t="s">
        <v>2055</v>
      </c>
      <c r="O342" s="6" t="s">
        <v>2056</v>
      </c>
    </row>
    <row r="343" customFormat="false" ht="23.85" hidden="false" customHeight="false" outlineLevel="0" collapsed="false">
      <c r="A343" s="5" t="s">
        <v>34</v>
      </c>
      <c r="B343" s="6" t="s">
        <v>2057</v>
      </c>
      <c r="C343" s="5" t="s">
        <v>2058</v>
      </c>
      <c r="D343" s="5" t="s">
        <v>428</v>
      </c>
      <c r="E343" s="5" t="s">
        <v>1810</v>
      </c>
      <c r="F343" s="5" t="s">
        <v>1811</v>
      </c>
      <c r="G343" s="5" t="s">
        <v>1496</v>
      </c>
      <c r="H343" s="5"/>
      <c r="I343" s="5"/>
      <c r="J343" s="5"/>
      <c r="K343" s="5" t="s">
        <v>2059</v>
      </c>
      <c r="L343" s="5"/>
      <c r="M343" s="5" t="s">
        <v>2024</v>
      </c>
      <c r="N343" s="5" t="s">
        <v>2060</v>
      </c>
      <c r="O343" s="6" t="s">
        <v>2061</v>
      </c>
    </row>
    <row r="344" customFormat="false" ht="23.85" hidden="false" customHeight="false" outlineLevel="0" collapsed="false">
      <c r="A344" s="5" t="s">
        <v>34</v>
      </c>
      <c r="B344" s="6" t="s">
        <v>2062</v>
      </c>
      <c r="C344" s="5" t="s">
        <v>2063</v>
      </c>
      <c r="D344" s="5" t="s">
        <v>428</v>
      </c>
      <c r="E344" s="5" t="s">
        <v>1810</v>
      </c>
      <c r="F344" s="5" t="s">
        <v>1811</v>
      </c>
      <c r="G344" s="5" t="s">
        <v>1496</v>
      </c>
      <c r="H344" s="5"/>
      <c r="I344" s="5"/>
      <c r="J344" s="5"/>
      <c r="K344" s="5" t="s">
        <v>2064</v>
      </c>
      <c r="L344" s="5"/>
      <c r="M344" s="5" t="s">
        <v>2024</v>
      </c>
      <c r="N344" s="5" t="s">
        <v>2065</v>
      </c>
      <c r="O344" s="6" t="s">
        <v>2066</v>
      </c>
    </row>
    <row r="345" customFormat="false" ht="23.85" hidden="false" customHeight="false" outlineLevel="0" collapsed="false">
      <c r="A345" s="5" t="s">
        <v>34</v>
      </c>
      <c r="B345" s="6" t="s">
        <v>2067</v>
      </c>
      <c r="C345" s="5" t="s">
        <v>2068</v>
      </c>
      <c r="D345" s="5" t="s">
        <v>428</v>
      </c>
      <c r="E345" s="5" t="s">
        <v>1810</v>
      </c>
      <c r="F345" s="5" t="s">
        <v>1811</v>
      </c>
      <c r="G345" s="5" t="s">
        <v>1496</v>
      </c>
      <c r="H345" s="5"/>
      <c r="I345" s="5"/>
      <c r="J345" s="5"/>
      <c r="K345" s="5" t="s">
        <v>2069</v>
      </c>
      <c r="L345" s="5"/>
      <c r="M345" s="5" t="s">
        <v>2024</v>
      </c>
      <c r="N345" s="5" t="s">
        <v>2070</v>
      </c>
      <c r="O345" s="6" t="s">
        <v>2071</v>
      </c>
    </row>
    <row r="346" customFormat="false" ht="23.85" hidden="false" customHeight="false" outlineLevel="0" collapsed="false">
      <c r="A346" s="5" t="s">
        <v>34</v>
      </c>
      <c r="B346" s="6" t="s">
        <v>2072</v>
      </c>
      <c r="C346" s="5" t="s">
        <v>2073</v>
      </c>
      <c r="D346" s="5" t="s">
        <v>428</v>
      </c>
      <c r="E346" s="5" t="s">
        <v>1810</v>
      </c>
      <c r="F346" s="5" t="s">
        <v>1811</v>
      </c>
      <c r="G346" s="5" t="s">
        <v>1496</v>
      </c>
      <c r="H346" s="5"/>
      <c r="I346" s="5"/>
      <c r="J346" s="5"/>
      <c r="K346" s="5" t="s">
        <v>2074</v>
      </c>
      <c r="L346" s="5"/>
      <c r="M346" s="5" t="s">
        <v>2024</v>
      </c>
      <c r="N346" s="5" t="s">
        <v>2075</v>
      </c>
      <c r="O346" s="6" t="s">
        <v>2076</v>
      </c>
    </row>
    <row r="347" customFormat="false" ht="23.85" hidden="false" customHeight="false" outlineLevel="0" collapsed="false">
      <c r="A347" s="5" t="s">
        <v>34</v>
      </c>
      <c r="B347" s="6" t="s">
        <v>2077</v>
      </c>
      <c r="C347" s="5" t="s">
        <v>2078</v>
      </c>
      <c r="D347" s="5" t="s">
        <v>428</v>
      </c>
      <c r="E347" s="5" t="s">
        <v>1810</v>
      </c>
      <c r="F347" s="5" t="s">
        <v>1811</v>
      </c>
      <c r="G347" s="5" t="s">
        <v>1496</v>
      </c>
      <c r="H347" s="5"/>
      <c r="I347" s="5"/>
      <c r="J347" s="5"/>
      <c r="K347" s="5" t="s">
        <v>2079</v>
      </c>
      <c r="L347" s="5"/>
      <c r="M347" s="5" t="s">
        <v>2024</v>
      </c>
      <c r="N347" s="5" t="s">
        <v>2080</v>
      </c>
      <c r="O347" s="6" t="s">
        <v>2081</v>
      </c>
    </row>
    <row r="348" customFormat="false" ht="23.85" hidden="false" customHeight="false" outlineLevel="0" collapsed="false">
      <c r="A348" s="5" t="s">
        <v>34</v>
      </c>
      <c r="B348" s="6" t="s">
        <v>2082</v>
      </c>
      <c r="C348" s="5" t="s">
        <v>2083</v>
      </c>
      <c r="D348" s="5" t="s">
        <v>428</v>
      </c>
      <c r="E348" s="5" t="s">
        <v>1810</v>
      </c>
      <c r="F348" s="5" t="s">
        <v>1811</v>
      </c>
      <c r="G348" s="5" t="s">
        <v>1496</v>
      </c>
      <c r="H348" s="5"/>
      <c r="I348" s="5"/>
      <c r="J348" s="5"/>
      <c r="K348" s="5" t="s">
        <v>2084</v>
      </c>
      <c r="L348" s="5"/>
      <c r="M348" s="5" t="s">
        <v>2024</v>
      </c>
      <c r="N348" s="5" t="s">
        <v>2085</v>
      </c>
      <c r="O348" s="6" t="s">
        <v>2086</v>
      </c>
    </row>
    <row r="349" customFormat="false" ht="23.85" hidden="false" customHeight="false" outlineLevel="0" collapsed="false">
      <c r="A349" s="5" t="s">
        <v>34</v>
      </c>
      <c r="B349" s="6" t="s">
        <v>2087</v>
      </c>
      <c r="C349" s="5" t="s">
        <v>2088</v>
      </c>
      <c r="D349" s="5" t="s">
        <v>428</v>
      </c>
      <c r="E349" s="5" t="s">
        <v>1810</v>
      </c>
      <c r="F349" s="5" t="s">
        <v>1811</v>
      </c>
      <c r="G349" s="5" t="s">
        <v>1496</v>
      </c>
      <c r="H349" s="5"/>
      <c r="I349" s="5"/>
      <c r="J349" s="5"/>
      <c r="K349" s="5" t="s">
        <v>2089</v>
      </c>
      <c r="L349" s="5"/>
      <c r="M349" s="5" t="s">
        <v>2024</v>
      </c>
      <c r="N349" s="5" t="s">
        <v>2090</v>
      </c>
      <c r="O349" s="6" t="s">
        <v>2091</v>
      </c>
    </row>
    <row r="350" customFormat="false" ht="23.85" hidden="false" customHeight="false" outlineLevel="0" collapsed="false">
      <c r="A350" s="5" t="s">
        <v>34</v>
      </c>
      <c r="B350" s="6" t="s">
        <v>2092</v>
      </c>
      <c r="C350" s="5" t="s">
        <v>2093</v>
      </c>
      <c r="D350" s="5" t="s">
        <v>428</v>
      </c>
      <c r="E350" s="5" t="s">
        <v>1810</v>
      </c>
      <c r="F350" s="5" t="s">
        <v>1811</v>
      </c>
      <c r="G350" s="5" t="s">
        <v>1496</v>
      </c>
      <c r="H350" s="5"/>
      <c r="I350" s="5"/>
      <c r="J350" s="5"/>
      <c r="K350" s="5" t="s">
        <v>2094</v>
      </c>
      <c r="L350" s="5"/>
      <c r="M350" s="5" t="s">
        <v>2024</v>
      </c>
      <c r="N350" s="5" t="s">
        <v>2095</v>
      </c>
      <c r="O350" s="6" t="s">
        <v>2096</v>
      </c>
    </row>
    <row r="351" customFormat="false" ht="23.85" hidden="false" customHeight="false" outlineLevel="0" collapsed="false">
      <c r="A351" s="5" t="s">
        <v>34</v>
      </c>
      <c r="B351" s="6" t="s">
        <v>2097</v>
      </c>
      <c r="C351" s="5" t="s">
        <v>2098</v>
      </c>
      <c r="D351" s="5" t="s">
        <v>428</v>
      </c>
      <c r="E351" s="5" t="s">
        <v>1810</v>
      </c>
      <c r="F351" s="5" t="s">
        <v>1811</v>
      </c>
      <c r="G351" s="5" t="s">
        <v>1496</v>
      </c>
      <c r="H351" s="5"/>
      <c r="I351" s="5"/>
      <c r="J351" s="5"/>
      <c r="K351" s="5" t="s">
        <v>2099</v>
      </c>
      <c r="L351" s="5"/>
      <c r="M351" s="5" t="s">
        <v>2024</v>
      </c>
      <c r="N351" s="5" t="s">
        <v>2100</v>
      </c>
      <c r="O351" s="6" t="s">
        <v>2101</v>
      </c>
    </row>
    <row r="352" customFormat="false" ht="23.85" hidden="false" customHeight="false" outlineLevel="0" collapsed="false">
      <c r="A352" s="5" t="s">
        <v>34</v>
      </c>
      <c r="B352" s="6" t="s">
        <v>2102</v>
      </c>
      <c r="C352" s="5" t="s">
        <v>2103</v>
      </c>
      <c r="D352" s="5" t="s">
        <v>428</v>
      </c>
      <c r="E352" s="5" t="s">
        <v>1810</v>
      </c>
      <c r="F352" s="5" t="s">
        <v>1811</v>
      </c>
      <c r="G352" s="5" t="s">
        <v>1496</v>
      </c>
      <c r="H352" s="5"/>
      <c r="I352" s="5"/>
      <c r="J352" s="5"/>
      <c r="K352" s="5" t="s">
        <v>2104</v>
      </c>
      <c r="L352" s="5"/>
      <c r="M352" s="5" t="s">
        <v>2024</v>
      </c>
      <c r="N352" s="5" t="s">
        <v>2105</v>
      </c>
      <c r="O352" s="6" t="s">
        <v>2106</v>
      </c>
    </row>
    <row r="353" customFormat="false" ht="23.85" hidden="false" customHeight="false" outlineLevel="0" collapsed="false">
      <c r="A353" s="5" t="s">
        <v>34</v>
      </c>
      <c r="B353" s="6" t="s">
        <v>2107</v>
      </c>
      <c r="C353" s="5" t="s">
        <v>2108</v>
      </c>
      <c r="D353" s="5" t="s">
        <v>428</v>
      </c>
      <c r="E353" s="5" t="s">
        <v>1810</v>
      </c>
      <c r="F353" s="5" t="s">
        <v>1811</v>
      </c>
      <c r="G353" s="5" t="s">
        <v>1496</v>
      </c>
      <c r="H353" s="5"/>
      <c r="I353" s="5"/>
      <c r="J353" s="5"/>
      <c r="K353" s="5" t="s">
        <v>2109</v>
      </c>
      <c r="L353" s="5"/>
      <c r="M353" s="5" t="s">
        <v>2024</v>
      </c>
      <c r="N353" s="5" t="s">
        <v>2110</v>
      </c>
      <c r="O353" s="6" t="s">
        <v>2111</v>
      </c>
    </row>
    <row r="354" customFormat="false" ht="23.85" hidden="false" customHeight="false" outlineLevel="0" collapsed="false">
      <c r="A354" s="5" t="s">
        <v>34</v>
      </c>
      <c r="B354" s="6" t="s">
        <v>2112</v>
      </c>
      <c r="C354" s="5" t="s">
        <v>2113</v>
      </c>
      <c r="D354" s="5" t="s">
        <v>428</v>
      </c>
      <c r="E354" s="5" t="s">
        <v>1810</v>
      </c>
      <c r="F354" s="5" t="s">
        <v>1811</v>
      </c>
      <c r="G354" s="5" t="s">
        <v>1496</v>
      </c>
      <c r="H354" s="5"/>
      <c r="I354" s="5"/>
      <c r="J354" s="5"/>
      <c r="K354" s="5" t="s">
        <v>2114</v>
      </c>
      <c r="L354" s="5"/>
      <c r="M354" s="5" t="s">
        <v>2024</v>
      </c>
      <c r="N354" s="5" t="s">
        <v>2115</v>
      </c>
      <c r="O354" s="6" t="s">
        <v>2116</v>
      </c>
    </row>
    <row r="355" customFormat="false" ht="23.85" hidden="false" customHeight="false" outlineLevel="0" collapsed="false">
      <c r="A355" s="5" t="s">
        <v>34</v>
      </c>
      <c r="B355" s="6" t="s">
        <v>2117</v>
      </c>
      <c r="C355" s="5" t="s">
        <v>2118</v>
      </c>
      <c r="D355" s="5" t="s">
        <v>428</v>
      </c>
      <c r="E355" s="5" t="s">
        <v>1810</v>
      </c>
      <c r="F355" s="5" t="s">
        <v>1811</v>
      </c>
      <c r="G355" s="5" t="s">
        <v>1496</v>
      </c>
      <c r="H355" s="5"/>
      <c r="I355" s="5"/>
      <c r="J355" s="5"/>
      <c r="K355" s="5" t="s">
        <v>2119</v>
      </c>
      <c r="L355" s="5"/>
      <c r="M355" s="5" t="s">
        <v>2024</v>
      </c>
      <c r="N355" s="5" t="s">
        <v>2120</v>
      </c>
      <c r="O355" s="6" t="s">
        <v>2121</v>
      </c>
    </row>
    <row r="356" customFormat="false" ht="23.85" hidden="false" customHeight="false" outlineLevel="0" collapsed="false">
      <c r="A356" s="5" t="s">
        <v>34</v>
      </c>
      <c r="B356" s="6" t="s">
        <v>2122</v>
      </c>
      <c r="C356" s="5" t="s">
        <v>2123</v>
      </c>
      <c r="D356" s="5" t="s">
        <v>428</v>
      </c>
      <c r="E356" s="5" t="s">
        <v>1810</v>
      </c>
      <c r="F356" s="5" t="s">
        <v>1811</v>
      </c>
      <c r="G356" s="5" t="s">
        <v>1496</v>
      </c>
      <c r="H356" s="5"/>
      <c r="I356" s="5"/>
      <c r="J356" s="5"/>
      <c r="K356" s="5" t="s">
        <v>2124</v>
      </c>
      <c r="L356" s="5"/>
      <c r="M356" s="5" t="s">
        <v>2024</v>
      </c>
      <c r="N356" s="5" t="s">
        <v>2125</v>
      </c>
      <c r="O356" s="6" t="s">
        <v>2126</v>
      </c>
    </row>
    <row r="357" customFormat="false" ht="23.85" hidden="false" customHeight="false" outlineLevel="0" collapsed="false">
      <c r="A357" s="5" t="s">
        <v>34</v>
      </c>
      <c r="B357" s="6" t="s">
        <v>2127</v>
      </c>
      <c r="C357" s="5" t="s">
        <v>2128</v>
      </c>
      <c r="D357" s="5" t="s">
        <v>428</v>
      </c>
      <c r="E357" s="5" t="s">
        <v>1810</v>
      </c>
      <c r="F357" s="5" t="s">
        <v>1811</v>
      </c>
      <c r="G357" s="5" t="s">
        <v>1496</v>
      </c>
      <c r="H357" s="5"/>
      <c r="I357" s="5"/>
      <c r="J357" s="5"/>
      <c r="K357" s="5" t="s">
        <v>2129</v>
      </c>
      <c r="L357" s="5"/>
      <c r="M357" s="5" t="s">
        <v>2024</v>
      </c>
      <c r="N357" s="5" t="s">
        <v>2130</v>
      </c>
      <c r="O357" s="6" t="s">
        <v>2131</v>
      </c>
    </row>
    <row r="358" customFormat="false" ht="23.85" hidden="false" customHeight="false" outlineLevel="0" collapsed="false">
      <c r="A358" s="5" t="s">
        <v>34</v>
      </c>
      <c r="B358" s="6" t="s">
        <v>2132</v>
      </c>
      <c r="C358" s="5" t="s">
        <v>2133</v>
      </c>
      <c r="D358" s="5" t="s">
        <v>428</v>
      </c>
      <c r="E358" s="5" t="s">
        <v>1810</v>
      </c>
      <c r="F358" s="5" t="s">
        <v>1811</v>
      </c>
      <c r="G358" s="5" t="s">
        <v>1496</v>
      </c>
      <c r="H358" s="5"/>
      <c r="I358" s="5"/>
      <c r="J358" s="5"/>
      <c r="K358" s="5" t="s">
        <v>2134</v>
      </c>
      <c r="L358" s="5"/>
      <c r="M358" s="5" t="s">
        <v>2024</v>
      </c>
      <c r="N358" s="5" t="s">
        <v>2135</v>
      </c>
      <c r="O358" s="6" t="s">
        <v>2136</v>
      </c>
    </row>
    <row r="359" customFormat="false" ht="23.85" hidden="false" customHeight="false" outlineLevel="0" collapsed="false">
      <c r="A359" s="5" t="s">
        <v>34</v>
      </c>
      <c r="B359" s="6" t="s">
        <v>2137</v>
      </c>
      <c r="C359" s="5" t="s">
        <v>2138</v>
      </c>
      <c r="D359" s="5" t="s">
        <v>428</v>
      </c>
      <c r="E359" s="5" t="s">
        <v>1810</v>
      </c>
      <c r="F359" s="5" t="s">
        <v>1811</v>
      </c>
      <c r="G359" s="5" t="s">
        <v>1496</v>
      </c>
      <c r="H359" s="5"/>
      <c r="I359" s="5"/>
      <c r="J359" s="5"/>
      <c r="K359" s="5" t="s">
        <v>2139</v>
      </c>
      <c r="L359" s="5"/>
      <c r="M359" s="5" t="s">
        <v>2024</v>
      </c>
      <c r="N359" s="5" t="s">
        <v>2140</v>
      </c>
      <c r="O359" s="6" t="s">
        <v>2141</v>
      </c>
    </row>
    <row r="360" customFormat="false" ht="23.85" hidden="false" customHeight="false" outlineLevel="0" collapsed="false">
      <c r="A360" s="5" t="s">
        <v>34</v>
      </c>
      <c r="B360" s="6" t="s">
        <v>2142</v>
      </c>
      <c r="C360" s="5" t="s">
        <v>2143</v>
      </c>
      <c r="D360" s="5" t="s">
        <v>428</v>
      </c>
      <c r="E360" s="5" t="s">
        <v>1810</v>
      </c>
      <c r="F360" s="5" t="s">
        <v>1811</v>
      </c>
      <c r="G360" s="5" t="s">
        <v>1496</v>
      </c>
      <c r="H360" s="5"/>
      <c r="I360" s="5"/>
      <c r="J360" s="5"/>
      <c r="K360" s="5" t="s">
        <v>2144</v>
      </c>
      <c r="L360" s="5"/>
      <c r="M360" s="5" t="s">
        <v>2024</v>
      </c>
      <c r="N360" s="5" t="s">
        <v>2145</v>
      </c>
      <c r="O360" s="6" t="s">
        <v>2146</v>
      </c>
    </row>
    <row r="361" customFormat="false" ht="23.85" hidden="false" customHeight="false" outlineLevel="0" collapsed="false">
      <c r="A361" s="5" t="s">
        <v>34</v>
      </c>
      <c r="B361" s="6" t="s">
        <v>2147</v>
      </c>
      <c r="C361" s="5" t="s">
        <v>2148</v>
      </c>
      <c r="D361" s="5" t="s">
        <v>428</v>
      </c>
      <c r="E361" s="5" t="s">
        <v>1810</v>
      </c>
      <c r="F361" s="5" t="s">
        <v>1811</v>
      </c>
      <c r="G361" s="5" t="s">
        <v>1496</v>
      </c>
      <c r="H361" s="5"/>
      <c r="I361" s="5"/>
      <c r="J361" s="5"/>
      <c r="K361" s="5" t="s">
        <v>2149</v>
      </c>
      <c r="L361" s="5"/>
      <c r="M361" s="5" t="s">
        <v>2024</v>
      </c>
      <c r="N361" s="5" t="s">
        <v>2150</v>
      </c>
      <c r="O361" s="6" t="s">
        <v>2151</v>
      </c>
    </row>
    <row r="362" customFormat="false" ht="23.85" hidden="false" customHeight="false" outlineLevel="0" collapsed="false">
      <c r="A362" s="5" t="s">
        <v>34</v>
      </c>
      <c r="B362" s="6" t="s">
        <v>2152</v>
      </c>
      <c r="C362" s="5" t="s">
        <v>2153</v>
      </c>
      <c r="D362" s="5" t="s">
        <v>428</v>
      </c>
      <c r="E362" s="5" t="s">
        <v>1810</v>
      </c>
      <c r="F362" s="5" t="s">
        <v>1811</v>
      </c>
      <c r="G362" s="5" t="s">
        <v>1496</v>
      </c>
      <c r="H362" s="5"/>
      <c r="I362" s="5"/>
      <c r="J362" s="5"/>
      <c r="K362" s="5" t="s">
        <v>2154</v>
      </c>
      <c r="L362" s="5"/>
      <c r="M362" s="5" t="s">
        <v>2024</v>
      </c>
      <c r="N362" s="5" t="s">
        <v>2155</v>
      </c>
      <c r="O362" s="6" t="s">
        <v>2156</v>
      </c>
    </row>
    <row r="363" customFormat="false" ht="23.85" hidden="false" customHeight="false" outlineLevel="0" collapsed="false">
      <c r="A363" s="5" t="s">
        <v>34</v>
      </c>
      <c r="B363" s="6" t="s">
        <v>2157</v>
      </c>
      <c r="C363" s="5" t="s">
        <v>2158</v>
      </c>
      <c r="D363" s="5" t="s">
        <v>428</v>
      </c>
      <c r="E363" s="5" t="s">
        <v>1810</v>
      </c>
      <c r="F363" s="5" t="s">
        <v>1811</v>
      </c>
      <c r="G363" s="5" t="s">
        <v>1496</v>
      </c>
      <c r="H363" s="5"/>
      <c r="I363" s="5"/>
      <c r="J363" s="5"/>
      <c r="K363" s="5" t="s">
        <v>2159</v>
      </c>
      <c r="L363" s="5"/>
      <c r="M363" s="5" t="s">
        <v>2024</v>
      </c>
      <c r="N363" s="5" t="s">
        <v>2160</v>
      </c>
      <c r="O363" s="6" t="s">
        <v>2161</v>
      </c>
    </row>
    <row r="364" customFormat="false" ht="23.85" hidden="false" customHeight="false" outlineLevel="0" collapsed="false">
      <c r="A364" s="5" t="s">
        <v>34</v>
      </c>
      <c r="B364" s="6" t="s">
        <v>2162</v>
      </c>
      <c r="C364" s="5" t="s">
        <v>2163</v>
      </c>
      <c r="D364" s="5" t="s">
        <v>428</v>
      </c>
      <c r="E364" s="5" t="s">
        <v>1810</v>
      </c>
      <c r="F364" s="5" t="s">
        <v>1811</v>
      </c>
      <c r="G364" s="5" t="s">
        <v>1496</v>
      </c>
      <c r="H364" s="5"/>
      <c r="I364" s="5"/>
      <c r="J364" s="5"/>
      <c r="K364" s="5" t="s">
        <v>2164</v>
      </c>
      <c r="L364" s="5"/>
      <c r="M364" s="5" t="s">
        <v>2024</v>
      </c>
      <c r="N364" s="5" t="s">
        <v>2165</v>
      </c>
      <c r="O364" s="6" t="s">
        <v>2166</v>
      </c>
    </row>
    <row r="365" customFormat="false" ht="23.85" hidden="false" customHeight="false" outlineLevel="0" collapsed="false">
      <c r="A365" s="5" t="s">
        <v>34</v>
      </c>
      <c r="B365" s="6" t="s">
        <v>2167</v>
      </c>
      <c r="C365" s="5" t="s">
        <v>2168</v>
      </c>
      <c r="D365" s="5" t="s">
        <v>428</v>
      </c>
      <c r="E365" s="5" t="s">
        <v>1810</v>
      </c>
      <c r="F365" s="5" t="s">
        <v>1811</v>
      </c>
      <c r="G365" s="5" t="s">
        <v>1496</v>
      </c>
      <c r="H365" s="5"/>
      <c r="I365" s="5"/>
      <c r="J365" s="5"/>
      <c r="K365" s="5" t="s">
        <v>2169</v>
      </c>
      <c r="L365" s="5"/>
      <c r="M365" s="5" t="s">
        <v>2024</v>
      </c>
      <c r="N365" s="5" t="s">
        <v>2170</v>
      </c>
      <c r="O365" s="6" t="s">
        <v>2171</v>
      </c>
    </row>
    <row r="366" customFormat="false" ht="23.85" hidden="false" customHeight="false" outlineLevel="0" collapsed="false">
      <c r="A366" s="5" t="s">
        <v>34</v>
      </c>
      <c r="B366" s="6" t="s">
        <v>2172</v>
      </c>
      <c r="C366" s="5" t="s">
        <v>2173</v>
      </c>
      <c r="D366" s="5" t="s">
        <v>428</v>
      </c>
      <c r="E366" s="5" t="s">
        <v>1810</v>
      </c>
      <c r="F366" s="5" t="s">
        <v>1811</v>
      </c>
      <c r="G366" s="5" t="s">
        <v>1496</v>
      </c>
      <c r="H366" s="5"/>
      <c r="I366" s="5"/>
      <c r="J366" s="5"/>
      <c r="K366" s="5" t="s">
        <v>2174</v>
      </c>
      <c r="L366" s="5"/>
      <c r="M366" s="5" t="s">
        <v>2024</v>
      </c>
      <c r="N366" s="5" t="s">
        <v>2175</v>
      </c>
      <c r="O366" s="6" t="s">
        <v>2176</v>
      </c>
    </row>
    <row r="367" customFormat="false" ht="23.85" hidden="false" customHeight="false" outlineLevel="0" collapsed="false">
      <c r="A367" s="5" t="s">
        <v>34</v>
      </c>
      <c r="B367" s="6" t="s">
        <v>2177</v>
      </c>
      <c r="C367" s="5" t="s">
        <v>2178</v>
      </c>
      <c r="D367" s="5" t="s">
        <v>428</v>
      </c>
      <c r="E367" s="5" t="s">
        <v>1810</v>
      </c>
      <c r="F367" s="5" t="s">
        <v>1811</v>
      </c>
      <c r="G367" s="5" t="s">
        <v>1496</v>
      </c>
      <c r="H367" s="5"/>
      <c r="I367" s="5"/>
      <c r="J367" s="5"/>
      <c r="K367" s="5" t="s">
        <v>2179</v>
      </c>
      <c r="L367" s="5"/>
      <c r="M367" s="5" t="s">
        <v>2024</v>
      </c>
      <c r="N367" s="5" t="s">
        <v>2180</v>
      </c>
      <c r="O367" s="6" t="s">
        <v>2181</v>
      </c>
    </row>
    <row r="368" customFormat="false" ht="23.85" hidden="false" customHeight="false" outlineLevel="0" collapsed="false">
      <c r="A368" s="5" t="s">
        <v>34</v>
      </c>
      <c r="B368" s="6" t="s">
        <v>2182</v>
      </c>
      <c r="C368" s="5" t="s">
        <v>2183</v>
      </c>
      <c r="D368" s="5" t="s">
        <v>428</v>
      </c>
      <c r="E368" s="5" t="s">
        <v>1810</v>
      </c>
      <c r="F368" s="5" t="s">
        <v>1811</v>
      </c>
      <c r="G368" s="5" t="s">
        <v>1496</v>
      </c>
      <c r="H368" s="5"/>
      <c r="I368" s="5"/>
      <c r="J368" s="5"/>
      <c r="K368" s="5" t="s">
        <v>2184</v>
      </c>
      <c r="L368" s="5"/>
      <c r="M368" s="5" t="s">
        <v>2024</v>
      </c>
      <c r="N368" s="5" t="s">
        <v>2185</v>
      </c>
      <c r="O368" s="6" t="s">
        <v>2186</v>
      </c>
    </row>
    <row r="369" customFormat="false" ht="23.85" hidden="false" customHeight="false" outlineLevel="0" collapsed="false">
      <c r="A369" s="5" t="s">
        <v>34</v>
      </c>
      <c r="B369" s="6" t="s">
        <v>2187</v>
      </c>
      <c r="C369" s="5" t="s">
        <v>2188</v>
      </c>
      <c r="D369" s="5" t="s">
        <v>428</v>
      </c>
      <c r="E369" s="5" t="s">
        <v>1810</v>
      </c>
      <c r="F369" s="5" t="s">
        <v>1811</v>
      </c>
      <c r="G369" s="5" t="s">
        <v>1496</v>
      </c>
      <c r="H369" s="5"/>
      <c r="I369" s="5"/>
      <c r="J369" s="5"/>
      <c r="K369" s="5" t="s">
        <v>2189</v>
      </c>
      <c r="L369" s="5"/>
      <c r="M369" s="5" t="s">
        <v>2024</v>
      </c>
      <c r="N369" s="5" t="s">
        <v>2190</v>
      </c>
      <c r="O369" s="6" t="s">
        <v>2191</v>
      </c>
    </row>
    <row r="370" customFormat="false" ht="23.85" hidden="false" customHeight="false" outlineLevel="0" collapsed="false">
      <c r="A370" s="5" t="s">
        <v>34</v>
      </c>
      <c r="B370" s="6" t="s">
        <v>2192</v>
      </c>
      <c r="C370" s="5" t="s">
        <v>2193</v>
      </c>
      <c r="D370" s="5" t="s">
        <v>428</v>
      </c>
      <c r="E370" s="5" t="s">
        <v>1810</v>
      </c>
      <c r="F370" s="5" t="s">
        <v>1811</v>
      </c>
      <c r="G370" s="5" t="s">
        <v>1496</v>
      </c>
      <c r="H370" s="5"/>
      <c r="I370" s="5"/>
      <c r="J370" s="5"/>
      <c r="K370" s="5" t="s">
        <v>2194</v>
      </c>
      <c r="L370" s="5"/>
      <c r="M370" s="5" t="s">
        <v>2024</v>
      </c>
      <c r="N370" s="5" t="s">
        <v>2195</v>
      </c>
      <c r="O370" s="6" t="s">
        <v>2196</v>
      </c>
    </row>
    <row r="371" customFormat="false" ht="23.85" hidden="false" customHeight="false" outlineLevel="0" collapsed="false">
      <c r="A371" s="5" t="s">
        <v>34</v>
      </c>
      <c r="B371" s="6" t="s">
        <v>2197</v>
      </c>
      <c r="C371" s="5" t="s">
        <v>2198</v>
      </c>
      <c r="D371" s="5" t="s">
        <v>428</v>
      </c>
      <c r="E371" s="5" t="s">
        <v>1810</v>
      </c>
      <c r="F371" s="5" t="s">
        <v>1811</v>
      </c>
      <c r="G371" s="5" t="s">
        <v>1496</v>
      </c>
      <c r="H371" s="5"/>
      <c r="I371" s="5"/>
      <c r="J371" s="5"/>
      <c r="K371" s="5" t="s">
        <v>2199</v>
      </c>
      <c r="L371" s="5"/>
      <c r="M371" s="5" t="s">
        <v>2024</v>
      </c>
      <c r="N371" s="5" t="s">
        <v>2200</v>
      </c>
      <c r="O371" s="6" t="s">
        <v>2201</v>
      </c>
    </row>
    <row r="372" customFormat="false" ht="23.85" hidden="false" customHeight="false" outlineLevel="0" collapsed="false">
      <c r="A372" s="5" t="s">
        <v>34</v>
      </c>
      <c r="B372" s="6" t="s">
        <v>2202</v>
      </c>
      <c r="C372" s="5" t="s">
        <v>2203</v>
      </c>
      <c r="D372" s="5" t="s">
        <v>428</v>
      </c>
      <c r="E372" s="5" t="s">
        <v>1810</v>
      </c>
      <c r="F372" s="5" t="s">
        <v>1811</v>
      </c>
      <c r="G372" s="5" t="s">
        <v>1496</v>
      </c>
      <c r="H372" s="5"/>
      <c r="I372" s="5"/>
      <c r="J372" s="5"/>
      <c r="K372" s="5" t="s">
        <v>2204</v>
      </c>
      <c r="L372" s="5"/>
      <c r="M372" s="5" t="s">
        <v>2024</v>
      </c>
      <c r="N372" s="5" t="s">
        <v>2205</v>
      </c>
      <c r="O372" s="6" t="s">
        <v>2206</v>
      </c>
    </row>
    <row r="373" customFormat="false" ht="23.85" hidden="false" customHeight="false" outlineLevel="0" collapsed="false">
      <c r="A373" s="5" t="s">
        <v>34</v>
      </c>
      <c r="B373" s="6" t="s">
        <v>2207</v>
      </c>
      <c r="C373" s="5" t="s">
        <v>2208</v>
      </c>
      <c r="D373" s="5" t="s">
        <v>428</v>
      </c>
      <c r="E373" s="5" t="s">
        <v>1810</v>
      </c>
      <c r="F373" s="5" t="s">
        <v>1811</v>
      </c>
      <c r="G373" s="5" t="s">
        <v>1496</v>
      </c>
      <c r="H373" s="5"/>
      <c r="I373" s="5"/>
      <c r="J373" s="5"/>
      <c r="K373" s="5" t="s">
        <v>2209</v>
      </c>
      <c r="L373" s="5"/>
      <c r="M373" s="5" t="s">
        <v>2024</v>
      </c>
      <c r="N373" s="5" t="s">
        <v>2210</v>
      </c>
      <c r="O373" s="6" t="s">
        <v>2211</v>
      </c>
    </row>
    <row r="374" customFormat="false" ht="23.85" hidden="false" customHeight="false" outlineLevel="0" collapsed="false">
      <c r="A374" s="5" t="s">
        <v>34</v>
      </c>
      <c r="B374" s="6" t="s">
        <v>2212</v>
      </c>
      <c r="C374" s="5" t="s">
        <v>2213</v>
      </c>
      <c r="D374" s="5" t="s">
        <v>428</v>
      </c>
      <c r="E374" s="5" t="s">
        <v>1810</v>
      </c>
      <c r="F374" s="5" t="s">
        <v>1811</v>
      </c>
      <c r="G374" s="5" t="s">
        <v>1496</v>
      </c>
      <c r="H374" s="5"/>
      <c r="I374" s="5"/>
      <c r="J374" s="5"/>
      <c r="K374" s="5" t="s">
        <v>2214</v>
      </c>
      <c r="L374" s="5"/>
      <c r="M374" s="5" t="s">
        <v>2024</v>
      </c>
      <c r="N374" s="5" t="s">
        <v>2215</v>
      </c>
      <c r="O374" s="6" t="s">
        <v>2216</v>
      </c>
    </row>
    <row r="375" customFormat="false" ht="23.85" hidden="false" customHeight="false" outlineLevel="0" collapsed="false">
      <c r="A375" s="5" t="s">
        <v>34</v>
      </c>
      <c r="B375" s="6" t="s">
        <v>2217</v>
      </c>
      <c r="C375" s="5" t="s">
        <v>2218</v>
      </c>
      <c r="D375" s="5" t="s">
        <v>428</v>
      </c>
      <c r="E375" s="5" t="s">
        <v>1810</v>
      </c>
      <c r="F375" s="5" t="s">
        <v>1811</v>
      </c>
      <c r="G375" s="5" t="s">
        <v>1496</v>
      </c>
      <c r="H375" s="5"/>
      <c r="I375" s="5"/>
      <c r="J375" s="5"/>
      <c r="K375" s="5" t="s">
        <v>2219</v>
      </c>
      <c r="L375" s="5"/>
      <c r="M375" s="5" t="s">
        <v>2024</v>
      </c>
      <c r="N375" s="5" t="s">
        <v>2220</v>
      </c>
      <c r="O375" s="6" t="s">
        <v>2221</v>
      </c>
    </row>
    <row r="376" customFormat="false" ht="23.85" hidden="false" customHeight="false" outlineLevel="0" collapsed="false">
      <c r="A376" s="5" t="s">
        <v>34</v>
      </c>
      <c r="B376" s="6" t="s">
        <v>2222</v>
      </c>
      <c r="C376" s="5" t="s">
        <v>2223</v>
      </c>
      <c r="D376" s="5" t="s">
        <v>428</v>
      </c>
      <c r="E376" s="5" t="s">
        <v>1810</v>
      </c>
      <c r="F376" s="5" t="s">
        <v>1811</v>
      </c>
      <c r="G376" s="5" t="s">
        <v>1496</v>
      </c>
      <c r="H376" s="5"/>
      <c r="I376" s="5"/>
      <c r="J376" s="5"/>
      <c r="K376" s="5" t="s">
        <v>2224</v>
      </c>
      <c r="L376" s="5"/>
      <c r="M376" s="5" t="s">
        <v>2024</v>
      </c>
      <c r="N376" s="5" t="s">
        <v>2225</v>
      </c>
      <c r="O376" s="6" t="s">
        <v>2226</v>
      </c>
    </row>
    <row r="377" customFormat="false" ht="23.85" hidden="false" customHeight="false" outlineLevel="0" collapsed="false">
      <c r="A377" s="5" t="s">
        <v>34</v>
      </c>
      <c r="B377" s="6" t="s">
        <v>2227</v>
      </c>
      <c r="C377" s="5" t="s">
        <v>2228</v>
      </c>
      <c r="D377" s="5" t="s">
        <v>428</v>
      </c>
      <c r="E377" s="5" t="s">
        <v>1810</v>
      </c>
      <c r="F377" s="5" t="s">
        <v>1811</v>
      </c>
      <c r="G377" s="5" t="s">
        <v>1496</v>
      </c>
      <c r="H377" s="5"/>
      <c r="I377" s="5"/>
      <c r="J377" s="5"/>
      <c r="K377" s="5" t="s">
        <v>2229</v>
      </c>
      <c r="L377" s="5"/>
      <c r="M377" s="5" t="s">
        <v>2024</v>
      </c>
      <c r="N377" s="5" t="s">
        <v>2230</v>
      </c>
      <c r="O377" s="6" t="s">
        <v>2231</v>
      </c>
    </row>
    <row r="378" customFormat="false" ht="32.8" hidden="false" customHeight="false" outlineLevel="0" collapsed="false">
      <c r="A378" s="5" t="s">
        <v>34</v>
      </c>
      <c r="B378" s="6" t="s">
        <v>2232</v>
      </c>
      <c r="C378" s="5" t="s">
        <v>2233</v>
      </c>
      <c r="D378" s="5" t="s">
        <v>428</v>
      </c>
      <c r="E378" s="5" t="s">
        <v>510</v>
      </c>
      <c r="F378" s="5" t="s">
        <v>1811</v>
      </c>
      <c r="G378" s="5" t="s">
        <v>1496</v>
      </c>
      <c r="H378" s="5"/>
      <c r="I378" s="5"/>
      <c r="J378" s="5"/>
      <c r="K378" s="5"/>
      <c r="L378" s="5"/>
      <c r="M378" s="5" t="s">
        <v>2024</v>
      </c>
      <c r="N378" s="5" t="s">
        <v>2234</v>
      </c>
      <c r="O378" s="6" t="s">
        <v>2235</v>
      </c>
    </row>
    <row r="379" customFormat="false" ht="23.85" hidden="false" customHeight="false" outlineLevel="0" collapsed="false">
      <c r="A379" s="5" t="s">
        <v>34</v>
      </c>
      <c r="B379" s="6" t="s">
        <v>2236</v>
      </c>
      <c r="C379" s="5" t="s">
        <v>2237</v>
      </c>
      <c r="D379" s="5" t="s">
        <v>428</v>
      </c>
      <c r="E379" s="5" t="s">
        <v>1810</v>
      </c>
      <c r="F379" s="5" t="s">
        <v>1811</v>
      </c>
      <c r="G379" s="5" t="s">
        <v>1496</v>
      </c>
      <c r="H379" s="5"/>
      <c r="I379" s="5"/>
      <c r="J379" s="5"/>
      <c r="K379" s="5" t="s">
        <v>2238</v>
      </c>
      <c r="L379" s="5"/>
      <c r="M379" s="5" t="s">
        <v>2239</v>
      </c>
      <c r="N379" s="5" t="s">
        <v>2240</v>
      </c>
      <c r="O379" s="6" t="s">
        <v>2241</v>
      </c>
    </row>
    <row r="380" customFormat="false" ht="23.85" hidden="false" customHeight="false" outlineLevel="0" collapsed="false">
      <c r="A380" s="5" t="s">
        <v>34</v>
      </c>
      <c r="B380" s="6" t="s">
        <v>2242</v>
      </c>
      <c r="C380" s="5" t="s">
        <v>2243</v>
      </c>
      <c r="D380" s="5" t="s">
        <v>428</v>
      </c>
      <c r="E380" s="5" t="s">
        <v>1810</v>
      </c>
      <c r="F380" s="5" t="s">
        <v>1811</v>
      </c>
      <c r="G380" s="5" t="s">
        <v>1496</v>
      </c>
      <c r="H380" s="5"/>
      <c r="I380" s="5"/>
      <c r="J380" s="5"/>
      <c r="K380" s="5" t="s">
        <v>2244</v>
      </c>
      <c r="L380" s="5"/>
      <c r="M380" s="5" t="s">
        <v>2239</v>
      </c>
      <c r="N380" s="5" t="s">
        <v>2245</v>
      </c>
      <c r="O380" s="6" t="s">
        <v>2246</v>
      </c>
    </row>
    <row r="381" customFormat="false" ht="23.85" hidden="false" customHeight="false" outlineLevel="0" collapsed="false">
      <c r="A381" s="5" t="s">
        <v>34</v>
      </c>
      <c r="B381" s="6" t="s">
        <v>2247</v>
      </c>
      <c r="C381" s="5" t="s">
        <v>2248</v>
      </c>
      <c r="D381" s="5" t="s">
        <v>428</v>
      </c>
      <c r="E381" s="5" t="s">
        <v>1810</v>
      </c>
      <c r="F381" s="5" t="s">
        <v>1811</v>
      </c>
      <c r="G381" s="5" t="s">
        <v>1496</v>
      </c>
      <c r="H381" s="5"/>
      <c r="I381" s="5"/>
      <c r="J381" s="5"/>
      <c r="K381" s="5" t="s">
        <v>2249</v>
      </c>
      <c r="L381" s="5"/>
      <c r="M381" s="5" t="s">
        <v>2239</v>
      </c>
      <c r="N381" s="5" t="s">
        <v>2250</v>
      </c>
      <c r="O381" s="6" t="s">
        <v>2251</v>
      </c>
    </row>
    <row r="382" customFormat="false" ht="23.85" hidden="false" customHeight="false" outlineLevel="0" collapsed="false">
      <c r="A382" s="5" t="s">
        <v>34</v>
      </c>
      <c r="B382" s="6" t="s">
        <v>2252</v>
      </c>
      <c r="C382" s="5" t="s">
        <v>2253</v>
      </c>
      <c r="D382" s="5" t="s">
        <v>428</v>
      </c>
      <c r="E382" s="5" t="s">
        <v>1810</v>
      </c>
      <c r="F382" s="5" t="s">
        <v>1811</v>
      </c>
      <c r="G382" s="5" t="s">
        <v>1496</v>
      </c>
      <c r="H382" s="5"/>
      <c r="I382" s="5"/>
      <c r="J382" s="5"/>
      <c r="K382" s="5" t="s">
        <v>2254</v>
      </c>
      <c r="L382" s="5"/>
      <c r="M382" s="5" t="s">
        <v>2239</v>
      </c>
      <c r="N382" s="5" t="s">
        <v>2255</v>
      </c>
      <c r="O382" s="6" t="s">
        <v>2256</v>
      </c>
    </row>
    <row r="383" customFormat="false" ht="23.85" hidden="false" customHeight="false" outlineLevel="0" collapsed="false">
      <c r="A383" s="5" t="s">
        <v>34</v>
      </c>
      <c r="B383" s="6" t="s">
        <v>2257</v>
      </c>
      <c r="C383" s="5" t="s">
        <v>2258</v>
      </c>
      <c r="D383" s="5" t="s">
        <v>428</v>
      </c>
      <c r="E383" s="5" t="s">
        <v>1810</v>
      </c>
      <c r="F383" s="5" t="s">
        <v>1811</v>
      </c>
      <c r="G383" s="5" t="s">
        <v>1496</v>
      </c>
      <c r="H383" s="5"/>
      <c r="I383" s="5"/>
      <c r="J383" s="5"/>
      <c r="K383" s="5" t="s">
        <v>2259</v>
      </c>
      <c r="L383" s="5"/>
      <c r="M383" s="5" t="s">
        <v>2239</v>
      </c>
      <c r="N383" s="5" t="s">
        <v>2260</v>
      </c>
      <c r="O383" s="6" t="s">
        <v>2261</v>
      </c>
    </row>
    <row r="384" customFormat="false" ht="23.85" hidden="false" customHeight="false" outlineLevel="0" collapsed="false">
      <c r="A384" s="5" t="s">
        <v>34</v>
      </c>
      <c r="B384" s="6" t="s">
        <v>2262</v>
      </c>
      <c r="C384" s="5" t="s">
        <v>2263</v>
      </c>
      <c r="D384" s="5" t="s">
        <v>428</v>
      </c>
      <c r="E384" s="5" t="s">
        <v>1810</v>
      </c>
      <c r="F384" s="5" t="s">
        <v>1811</v>
      </c>
      <c r="G384" s="5" t="s">
        <v>1496</v>
      </c>
      <c r="H384" s="5"/>
      <c r="I384" s="5"/>
      <c r="J384" s="5"/>
      <c r="K384" s="5" t="s">
        <v>2264</v>
      </c>
      <c r="L384" s="5"/>
      <c r="M384" s="5" t="s">
        <v>2239</v>
      </c>
      <c r="N384" s="5" t="s">
        <v>2265</v>
      </c>
      <c r="O384" s="6" t="s">
        <v>2266</v>
      </c>
    </row>
    <row r="385" customFormat="false" ht="23.85" hidden="false" customHeight="false" outlineLevel="0" collapsed="false">
      <c r="A385" s="5" t="s">
        <v>34</v>
      </c>
      <c r="B385" s="6" t="s">
        <v>2267</v>
      </c>
      <c r="C385" s="5" t="s">
        <v>2268</v>
      </c>
      <c r="D385" s="5" t="s">
        <v>428</v>
      </c>
      <c r="E385" s="5" t="s">
        <v>1810</v>
      </c>
      <c r="F385" s="5" t="s">
        <v>1811</v>
      </c>
      <c r="G385" s="5" t="s">
        <v>1496</v>
      </c>
      <c r="H385" s="5"/>
      <c r="I385" s="5"/>
      <c r="J385" s="5"/>
      <c r="K385" s="5" t="s">
        <v>2269</v>
      </c>
      <c r="L385" s="5"/>
      <c r="M385" s="5" t="s">
        <v>2239</v>
      </c>
      <c r="N385" s="5" t="s">
        <v>2270</v>
      </c>
      <c r="O385" s="6" t="s">
        <v>2271</v>
      </c>
    </row>
    <row r="386" customFormat="false" ht="23.85" hidden="false" customHeight="false" outlineLevel="0" collapsed="false">
      <c r="A386" s="5" t="s">
        <v>34</v>
      </c>
      <c r="B386" s="6" t="s">
        <v>2272</v>
      </c>
      <c r="C386" s="5" t="s">
        <v>2273</v>
      </c>
      <c r="D386" s="5" t="s">
        <v>428</v>
      </c>
      <c r="E386" s="5" t="s">
        <v>1810</v>
      </c>
      <c r="F386" s="5" t="s">
        <v>1811</v>
      </c>
      <c r="G386" s="5" t="s">
        <v>1496</v>
      </c>
      <c r="H386" s="5"/>
      <c r="I386" s="5"/>
      <c r="J386" s="5"/>
      <c r="K386" s="5" t="s">
        <v>2274</v>
      </c>
      <c r="L386" s="5"/>
      <c r="M386" s="5" t="s">
        <v>2239</v>
      </c>
      <c r="N386" s="5" t="s">
        <v>2275</v>
      </c>
      <c r="O386" s="6" t="s">
        <v>2276</v>
      </c>
    </row>
    <row r="387" customFormat="false" ht="23.85" hidden="false" customHeight="false" outlineLevel="0" collapsed="false">
      <c r="A387" s="5" t="s">
        <v>34</v>
      </c>
      <c r="B387" s="6" t="s">
        <v>2277</v>
      </c>
      <c r="C387" s="5" t="s">
        <v>2278</v>
      </c>
      <c r="D387" s="5" t="s">
        <v>428</v>
      </c>
      <c r="E387" s="5" t="s">
        <v>1810</v>
      </c>
      <c r="F387" s="5" t="s">
        <v>1811</v>
      </c>
      <c r="G387" s="5" t="s">
        <v>1496</v>
      </c>
      <c r="H387" s="5"/>
      <c r="I387" s="5"/>
      <c r="J387" s="5"/>
      <c r="K387" s="5" t="s">
        <v>2279</v>
      </c>
      <c r="L387" s="5"/>
      <c r="M387" s="5" t="s">
        <v>2239</v>
      </c>
      <c r="N387" s="5" t="s">
        <v>2280</v>
      </c>
      <c r="O387" s="6" t="s">
        <v>2281</v>
      </c>
    </row>
    <row r="388" customFormat="false" ht="23.85" hidden="false" customHeight="false" outlineLevel="0" collapsed="false">
      <c r="A388" s="5" t="s">
        <v>34</v>
      </c>
      <c r="B388" s="6" t="s">
        <v>2282</v>
      </c>
      <c r="C388" s="5" t="s">
        <v>2283</v>
      </c>
      <c r="D388" s="5" t="s">
        <v>428</v>
      </c>
      <c r="E388" s="5" t="s">
        <v>1810</v>
      </c>
      <c r="F388" s="5" t="s">
        <v>1811</v>
      </c>
      <c r="G388" s="5" t="s">
        <v>1496</v>
      </c>
      <c r="H388" s="5"/>
      <c r="I388" s="5"/>
      <c r="J388" s="5"/>
      <c r="K388" s="5" t="s">
        <v>2284</v>
      </c>
      <c r="L388" s="5"/>
      <c r="M388" s="5" t="s">
        <v>2239</v>
      </c>
      <c r="N388" s="5" t="s">
        <v>2285</v>
      </c>
      <c r="O388" s="6" t="s">
        <v>2286</v>
      </c>
    </row>
    <row r="389" customFormat="false" ht="23.85" hidden="false" customHeight="false" outlineLevel="0" collapsed="false">
      <c r="A389" s="5" t="s">
        <v>34</v>
      </c>
      <c r="B389" s="6" t="s">
        <v>2287</v>
      </c>
      <c r="C389" s="5" t="s">
        <v>2288</v>
      </c>
      <c r="D389" s="5" t="s">
        <v>428</v>
      </c>
      <c r="E389" s="5" t="s">
        <v>1810</v>
      </c>
      <c r="F389" s="5" t="s">
        <v>1811</v>
      </c>
      <c r="G389" s="5" t="s">
        <v>1496</v>
      </c>
      <c r="H389" s="5"/>
      <c r="I389" s="5"/>
      <c r="J389" s="5"/>
      <c r="K389" s="5" t="s">
        <v>2289</v>
      </c>
      <c r="L389" s="5"/>
      <c r="M389" s="5" t="s">
        <v>2239</v>
      </c>
      <c r="N389" s="5" t="s">
        <v>2290</v>
      </c>
      <c r="O389" s="6" t="s">
        <v>2291</v>
      </c>
    </row>
    <row r="390" customFormat="false" ht="23.85" hidden="false" customHeight="false" outlineLevel="0" collapsed="false">
      <c r="A390" s="5" t="s">
        <v>34</v>
      </c>
      <c r="B390" s="6" t="s">
        <v>2292</v>
      </c>
      <c r="C390" s="5" t="s">
        <v>2293</v>
      </c>
      <c r="D390" s="5" t="s">
        <v>428</v>
      </c>
      <c r="E390" s="5" t="s">
        <v>1810</v>
      </c>
      <c r="F390" s="5" t="s">
        <v>1811</v>
      </c>
      <c r="G390" s="5" t="s">
        <v>1496</v>
      </c>
      <c r="H390" s="5"/>
      <c r="I390" s="5"/>
      <c r="J390" s="5"/>
      <c r="K390" s="5" t="s">
        <v>2294</v>
      </c>
      <c r="L390" s="5"/>
      <c r="M390" s="5" t="s">
        <v>2239</v>
      </c>
      <c r="N390" s="5" t="s">
        <v>2295</v>
      </c>
      <c r="O390" s="6" t="s">
        <v>2296</v>
      </c>
    </row>
    <row r="391" customFormat="false" ht="23.85" hidden="false" customHeight="false" outlineLevel="0" collapsed="false">
      <c r="A391" s="5" t="s">
        <v>34</v>
      </c>
      <c r="B391" s="6" t="s">
        <v>2297</v>
      </c>
      <c r="C391" s="5" t="s">
        <v>2298</v>
      </c>
      <c r="D391" s="5" t="s">
        <v>428</v>
      </c>
      <c r="E391" s="5" t="s">
        <v>1810</v>
      </c>
      <c r="F391" s="5" t="s">
        <v>1811</v>
      </c>
      <c r="G391" s="5" t="s">
        <v>1496</v>
      </c>
      <c r="H391" s="5"/>
      <c r="I391" s="5"/>
      <c r="J391" s="5"/>
      <c r="K391" s="5" t="s">
        <v>2299</v>
      </c>
      <c r="L391" s="5"/>
      <c r="M391" s="5" t="s">
        <v>2239</v>
      </c>
      <c r="N391" s="5" t="s">
        <v>2300</v>
      </c>
      <c r="O391" s="6" t="s">
        <v>2301</v>
      </c>
    </row>
    <row r="392" customFormat="false" ht="23.85" hidden="false" customHeight="false" outlineLevel="0" collapsed="false">
      <c r="A392" s="5" t="s">
        <v>34</v>
      </c>
      <c r="B392" s="6" t="s">
        <v>2302</v>
      </c>
      <c r="C392" s="5" t="s">
        <v>2303</v>
      </c>
      <c r="D392" s="5" t="s">
        <v>428</v>
      </c>
      <c r="E392" s="5" t="s">
        <v>1810</v>
      </c>
      <c r="F392" s="5" t="s">
        <v>1811</v>
      </c>
      <c r="G392" s="5" t="s">
        <v>1496</v>
      </c>
      <c r="H392" s="5"/>
      <c r="I392" s="5"/>
      <c r="J392" s="5"/>
      <c r="K392" s="5" t="s">
        <v>2304</v>
      </c>
      <c r="L392" s="5"/>
      <c r="M392" s="5" t="s">
        <v>2239</v>
      </c>
      <c r="N392" s="5" t="s">
        <v>2305</v>
      </c>
      <c r="O392" s="6" t="s">
        <v>2306</v>
      </c>
    </row>
    <row r="393" customFormat="false" ht="23.85" hidden="false" customHeight="false" outlineLevel="0" collapsed="false">
      <c r="A393" s="5" t="s">
        <v>34</v>
      </c>
      <c r="B393" s="6" t="s">
        <v>2307</v>
      </c>
      <c r="C393" s="5" t="s">
        <v>2308</v>
      </c>
      <c r="D393" s="5" t="s">
        <v>428</v>
      </c>
      <c r="E393" s="5" t="s">
        <v>1810</v>
      </c>
      <c r="F393" s="5" t="s">
        <v>1811</v>
      </c>
      <c r="G393" s="5" t="s">
        <v>1496</v>
      </c>
      <c r="H393" s="5"/>
      <c r="I393" s="5"/>
      <c r="J393" s="5"/>
      <c r="K393" s="5" t="s">
        <v>2309</v>
      </c>
      <c r="L393" s="5"/>
      <c r="M393" s="5" t="s">
        <v>2239</v>
      </c>
      <c r="N393" s="5" t="s">
        <v>2310</v>
      </c>
      <c r="O393" s="6" t="s">
        <v>2311</v>
      </c>
    </row>
    <row r="394" customFormat="false" ht="23.85" hidden="false" customHeight="false" outlineLevel="0" collapsed="false">
      <c r="A394" s="5" t="s">
        <v>34</v>
      </c>
      <c r="B394" s="6" t="s">
        <v>2312</v>
      </c>
      <c r="C394" s="5" t="s">
        <v>2313</v>
      </c>
      <c r="D394" s="5" t="s">
        <v>428</v>
      </c>
      <c r="E394" s="5" t="s">
        <v>1810</v>
      </c>
      <c r="F394" s="5" t="s">
        <v>1811</v>
      </c>
      <c r="G394" s="5" t="s">
        <v>1496</v>
      </c>
      <c r="H394" s="5"/>
      <c r="I394" s="5"/>
      <c r="J394" s="5"/>
      <c r="K394" s="5" t="s">
        <v>2314</v>
      </c>
      <c r="L394" s="5"/>
      <c r="M394" s="5" t="s">
        <v>2239</v>
      </c>
      <c r="N394" s="5" t="s">
        <v>2315</v>
      </c>
      <c r="O394" s="6" t="s">
        <v>2316</v>
      </c>
    </row>
    <row r="395" customFormat="false" ht="23.85" hidden="false" customHeight="false" outlineLevel="0" collapsed="false">
      <c r="A395" s="5" t="s">
        <v>34</v>
      </c>
      <c r="B395" s="6" t="s">
        <v>2317</v>
      </c>
      <c r="C395" s="5" t="s">
        <v>2318</v>
      </c>
      <c r="D395" s="5" t="s">
        <v>428</v>
      </c>
      <c r="E395" s="5" t="s">
        <v>1810</v>
      </c>
      <c r="F395" s="5" t="s">
        <v>1811</v>
      </c>
      <c r="G395" s="5" t="s">
        <v>1496</v>
      </c>
      <c r="H395" s="5"/>
      <c r="I395" s="5"/>
      <c r="J395" s="5"/>
      <c r="K395" s="5" t="s">
        <v>2319</v>
      </c>
      <c r="L395" s="5"/>
      <c r="M395" s="5" t="s">
        <v>2239</v>
      </c>
      <c r="N395" s="5" t="s">
        <v>2320</v>
      </c>
      <c r="O395" s="6" t="s">
        <v>2321</v>
      </c>
    </row>
    <row r="396" customFormat="false" ht="23.85" hidden="false" customHeight="false" outlineLevel="0" collapsed="false">
      <c r="A396" s="5" t="s">
        <v>34</v>
      </c>
      <c r="B396" s="6" t="s">
        <v>2322</v>
      </c>
      <c r="C396" s="5" t="s">
        <v>2323</v>
      </c>
      <c r="D396" s="5" t="s">
        <v>428</v>
      </c>
      <c r="E396" s="5" t="s">
        <v>1810</v>
      </c>
      <c r="F396" s="5" t="s">
        <v>1811</v>
      </c>
      <c r="G396" s="5" t="s">
        <v>1496</v>
      </c>
      <c r="H396" s="5"/>
      <c r="I396" s="5"/>
      <c r="J396" s="5"/>
      <c r="K396" s="5" t="s">
        <v>2324</v>
      </c>
      <c r="L396" s="5"/>
      <c r="M396" s="5" t="s">
        <v>2239</v>
      </c>
      <c r="N396" s="5" t="s">
        <v>2325</v>
      </c>
      <c r="O396" s="6" t="s">
        <v>2326</v>
      </c>
    </row>
    <row r="397" customFormat="false" ht="23.85" hidden="false" customHeight="false" outlineLevel="0" collapsed="false">
      <c r="A397" s="5" t="s">
        <v>34</v>
      </c>
      <c r="B397" s="6" t="s">
        <v>2327</v>
      </c>
      <c r="C397" s="5" t="s">
        <v>2328</v>
      </c>
      <c r="D397" s="5" t="s">
        <v>428</v>
      </c>
      <c r="E397" s="5" t="s">
        <v>1810</v>
      </c>
      <c r="F397" s="5" t="s">
        <v>1811</v>
      </c>
      <c r="G397" s="5" t="s">
        <v>1496</v>
      </c>
      <c r="H397" s="5"/>
      <c r="I397" s="5"/>
      <c r="J397" s="5"/>
      <c r="K397" s="5" t="s">
        <v>2329</v>
      </c>
      <c r="L397" s="5"/>
      <c r="M397" s="5" t="s">
        <v>2239</v>
      </c>
      <c r="N397" s="5" t="s">
        <v>2330</v>
      </c>
      <c r="O397" s="6" t="s">
        <v>2331</v>
      </c>
    </row>
    <row r="398" customFormat="false" ht="23.85" hidden="false" customHeight="false" outlineLevel="0" collapsed="false">
      <c r="A398" s="5" t="s">
        <v>34</v>
      </c>
      <c r="B398" s="6" t="s">
        <v>2332</v>
      </c>
      <c r="C398" s="5" t="s">
        <v>2333</v>
      </c>
      <c r="D398" s="5" t="s">
        <v>428</v>
      </c>
      <c r="E398" s="5" t="s">
        <v>1810</v>
      </c>
      <c r="F398" s="5" t="s">
        <v>1811</v>
      </c>
      <c r="G398" s="5" t="s">
        <v>1496</v>
      </c>
      <c r="H398" s="5"/>
      <c r="I398" s="5"/>
      <c r="J398" s="5"/>
      <c r="K398" s="5" t="s">
        <v>2334</v>
      </c>
      <c r="L398" s="5"/>
      <c r="M398" s="5" t="s">
        <v>2239</v>
      </c>
      <c r="N398" s="5" t="s">
        <v>2335</v>
      </c>
      <c r="O398" s="6" t="s">
        <v>2336</v>
      </c>
    </row>
    <row r="399" customFormat="false" ht="23.85" hidden="false" customHeight="false" outlineLevel="0" collapsed="false">
      <c r="A399" s="5" t="s">
        <v>34</v>
      </c>
      <c r="B399" s="6" t="s">
        <v>2337</v>
      </c>
      <c r="C399" s="5" t="s">
        <v>2338</v>
      </c>
      <c r="D399" s="5" t="s">
        <v>428</v>
      </c>
      <c r="E399" s="5" t="s">
        <v>1810</v>
      </c>
      <c r="F399" s="5" t="s">
        <v>1811</v>
      </c>
      <c r="G399" s="5" t="s">
        <v>1496</v>
      </c>
      <c r="H399" s="5"/>
      <c r="I399" s="5"/>
      <c r="J399" s="5"/>
      <c r="K399" s="5" t="s">
        <v>2339</v>
      </c>
      <c r="L399" s="5"/>
      <c r="M399" s="5" t="s">
        <v>2239</v>
      </c>
      <c r="N399" s="5" t="s">
        <v>2340</v>
      </c>
      <c r="O399" s="6" t="s">
        <v>2341</v>
      </c>
    </row>
    <row r="400" customFormat="false" ht="23.85" hidden="false" customHeight="false" outlineLevel="0" collapsed="false">
      <c r="A400" s="5" t="s">
        <v>34</v>
      </c>
      <c r="B400" s="6" t="s">
        <v>2342</v>
      </c>
      <c r="C400" s="5" t="s">
        <v>2343</v>
      </c>
      <c r="D400" s="5" t="s">
        <v>428</v>
      </c>
      <c r="E400" s="5" t="s">
        <v>1810</v>
      </c>
      <c r="F400" s="5" t="s">
        <v>1811</v>
      </c>
      <c r="G400" s="5" t="s">
        <v>1496</v>
      </c>
      <c r="H400" s="5"/>
      <c r="I400" s="5"/>
      <c r="J400" s="5"/>
      <c r="K400" s="5" t="s">
        <v>2344</v>
      </c>
      <c r="L400" s="5"/>
      <c r="M400" s="5" t="s">
        <v>2239</v>
      </c>
      <c r="N400" s="5" t="s">
        <v>2345</v>
      </c>
      <c r="O400" s="6" t="s">
        <v>2346</v>
      </c>
    </row>
    <row r="401" customFormat="false" ht="23.85" hidden="false" customHeight="false" outlineLevel="0" collapsed="false">
      <c r="A401" s="5" t="s">
        <v>34</v>
      </c>
      <c r="B401" s="6" t="s">
        <v>2347</v>
      </c>
      <c r="C401" s="5" t="s">
        <v>2348</v>
      </c>
      <c r="D401" s="5" t="s">
        <v>428</v>
      </c>
      <c r="E401" s="5" t="s">
        <v>1810</v>
      </c>
      <c r="F401" s="5" t="s">
        <v>1811</v>
      </c>
      <c r="G401" s="5" t="s">
        <v>1496</v>
      </c>
      <c r="H401" s="5"/>
      <c r="I401" s="5"/>
      <c r="J401" s="5"/>
      <c r="K401" s="5" t="s">
        <v>2349</v>
      </c>
      <c r="L401" s="5"/>
      <c r="M401" s="5" t="s">
        <v>2239</v>
      </c>
      <c r="N401" s="5" t="s">
        <v>2350</v>
      </c>
      <c r="O401" s="6" t="s">
        <v>2351</v>
      </c>
    </row>
    <row r="402" customFormat="false" ht="23.85" hidden="false" customHeight="false" outlineLevel="0" collapsed="false">
      <c r="A402" s="5" t="s">
        <v>34</v>
      </c>
      <c r="B402" s="6" t="s">
        <v>2352</v>
      </c>
      <c r="C402" s="5" t="s">
        <v>2353</v>
      </c>
      <c r="D402" s="5" t="s">
        <v>428</v>
      </c>
      <c r="E402" s="5" t="s">
        <v>1810</v>
      </c>
      <c r="F402" s="5" t="s">
        <v>1811</v>
      </c>
      <c r="G402" s="5" t="s">
        <v>1496</v>
      </c>
      <c r="H402" s="5"/>
      <c r="I402" s="5"/>
      <c r="J402" s="5"/>
      <c r="K402" s="5" t="s">
        <v>2354</v>
      </c>
      <c r="L402" s="5"/>
      <c r="M402" s="5" t="s">
        <v>2239</v>
      </c>
      <c r="N402" s="5" t="s">
        <v>2355</v>
      </c>
      <c r="O402" s="6" t="s">
        <v>2356</v>
      </c>
    </row>
    <row r="403" customFormat="false" ht="23.85" hidden="false" customHeight="false" outlineLevel="0" collapsed="false">
      <c r="A403" s="5" t="s">
        <v>34</v>
      </c>
      <c r="B403" s="6" t="s">
        <v>2357</v>
      </c>
      <c r="C403" s="5" t="s">
        <v>2358</v>
      </c>
      <c r="D403" s="5" t="s">
        <v>428</v>
      </c>
      <c r="E403" s="5" t="s">
        <v>1810</v>
      </c>
      <c r="F403" s="5" t="s">
        <v>1811</v>
      </c>
      <c r="G403" s="5" t="s">
        <v>1496</v>
      </c>
      <c r="H403" s="5"/>
      <c r="I403" s="5"/>
      <c r="J403" s="5"/>
      <c r="K403" s="5" t="s">
        <v>2359</v>
      </c>
      <c r="L403" s="5"/>
      <c r="M403" s="5" t="s">
        <v>2239</v>
      </c>
      <c r="N403" s="5" t="s">
        <v>2360</v>
      </c>
      <c r="O403" s="6" t="s">
        <v>2361</v>
      </c>
    </row>
    <row r="404" customFormat="false" ht="23.85" hidden="false" customHeight="false" outlineLevel="0" collapsed="false">
      <c r="A404" s="5" t="s">
        <v>34</v>
      </c>
      <c r="B404" s="6" t="s">
        <v>2362</v>
      </c>
      <c r="C404" s="5" t="s">
        <v>2363</v>
      </c>
      <c r="D404" s="5" t="s">
        <v>428</v>
      </c>
      <c r="E404" s="5" t="s">
        <v>1810</v>
      </c>
      <c r="F404" s="5" t="s">
        <v>1811</v>
      </c>
      <c r="G404" s="5" t="s">
        <v>1496</v>
      </c>
      <c r="H404" s="5"/>
      <c r="I404" s="5"/>
      <c r="J404" s="5"/>
      <c r="K404" s="5" t="s">
        <v>2364</v>
      </c>
      <c r="L404" s="5"/>
      <c r="M404" s="5" t="s">
        <v>2239</v>
      </c>
      <c r="N404" s="5" t="s">
        <v>2365</v>
      </c>
      <c r="O404" s="6" t="s">
        <v>2366</v>
      </c>
    </row>
    <row r="405" customFormat="false" ht="23.85" hidden="false" customHeight="false" outlineLevel="0" collapsed="false">
      <c r="A405" s="5" t="s">
        <v>34</v>
      </c>
      <c r="B405" s="6" t="s">
        <v>2367</v>
      </c>
      <c r="C405" s="5" t="s">
        <v>2368</v>
      </c>
      <c r="D405" s="5" t="s">
        <v>428</v>
      </c>
      <c r="E405" s="5" t="s">
        <v>1810</v>
      </c>
      <c r="F405" s="5" t="s">
        <v>1811</v>
      </c>
      <c r="G405" s="5" t="s">
        <v>1496</v>
      </c>
      <c r="H405" s="5"/>
      <c r="I405" s="5"/>
      <c r="J405" s="5"/>
      <c r="K405" s="5" t="s">
        <v>2369</v>
      </c>
      <c r="L405" s="5"/>
      <c r="M405" s="5" t="s">
        <v>2239</v>
      </c>
      <c r="N405" s="5" t="s">
        <v>2370</v>
      </c>
      <c r="O405" s="6" t="s">
        <v>2371</v>
      </c>
    </row>
    <row r="406" customFormat="false" ht="23.85" hidden="false" customHeight="false" outlineLevel="0" collapsed="false">
      <c r="A406" s="5" t="s">
        <v>34</v>
      </c>
      <c r="B406" s="6" t="s">
        <v>2372</v>
      </c>
      <c r="C406" s="5" t="s">
        <v>2373</v>
      </c>
      <c r="D406" s="5" t="s">
        <v>428</v>
      </c>
      <c r="E406" s="5" t="s">
        <v>1810</v>
      </c>
      <c r="F406" s="5" t="s">
        <v>1811</v>
      </c>
      <c r="G406" s="5" t="s">
        <v>1496</v>
      </c>
      <c r="H406" s="5"/>
      <c r="I406" s="5"/>
      <c r="J406" s="5"/>
      <c r="K406" s="5" t="s">
        <v>2374</v>
      </c>
      <c r="L406" s="5"/>
      <c r="M406" s="5" t="s">
        <v>2239</v>
      </c>
      <c r="N406" s="5" t="s">
        <v>2375</v>
      </c>
      <c r="O406" s="6" t="s">
        <v>2376</v>
      </c>
    </row>
    <row r="407" customFormat="false" ht="23.85" hidden="false" customHeight="false" outlineLevel="0" collapsed="false">
      <c r="A407" s="5" t="s">
        <v>34</v>
      </c>
      <c r="B407" s="6" t="s">
        <v>2377</v>
      </c>
      <c r="C407" s="5" t="s">
        <v>2378</v>
      </c>
      <c r="D407" s="5" t="s">
        <v>428</v>
      </c>
      <c r="E407" s="5" t="s">
        <v>1810</v>
      </c>
      <c r="F407" s="5" t="s">
        <v>1811</v>
      </c>
      <c r="G407" s="5" t="s">
        <v>1496</v>
      </c>
      <c r="H407" s="5"/>
      <c r="I407" s="5"/>
      <c r="J407" s="5"/>
      <c r="K407" s="5" t="s">
        <v>2379</v>
      </c>
      <c r="L407" s="5"/>
      <c r="M407" s="5" t="s">
        <v>2239</v>
      </c>
      <c r="N407" s="5" t="s">
        <v>2380</v>
      </c>
      <c r="O407" s="6" t="s">
        <v>2381</v>
      </c>
    </row>
    <row r="408" customFormat="false" ht="23.85" hidden="false" customHeight="false" outlineLevel="0" collapsed="false">
      <c r="A408" s="5" t="s">
        <v>34</v>
      </c>
      <c r="B408" s="6" t="s">
        <v>2382</v>
      </c>
      <c r="C408" s="5" t="s">
        <v>2383</v>
      </c>
      <c r="D408" s="5" t="s">
        <v>428</v>
      </c>
      <c r="E408" s="5" t="s">
        <v>1810</v>
      </c>
      <c r="F408" s="5" t="s">
        <v>1811</v>
      </c>
      <c r="G408" s="5" t="s">
        <v>1496</v>
      </c>
      <c r="H408" s="5"/>
      <c r="I408" s="5"/>
      <c r="J408" s="5"/>
      <c r="K408" s="5" t="s">
        <v>2384</v>
      </c>
      <c r="L408" s="5"/>
      <c r="M408" s="5" t="s">
        <v>2239</v>
      </c>
      <c r="N408" s="5" t="s">
        <v>2385</v>
      </c>
      <c r="O408" s="6" t="s">
        <v>2386</v>
      </c>
    </row>
    <row r="409" customFormat="false" ht="23.85" hidden="false" customHeight="false" outlineLevel="0" collapsed="false">
      <c r="A409" s="5" t="s">
        <v>34</v>
      </c>
      <c r="B409" s="6" t="s">
        <v>2387</v>
      </c>
      <c r="C409" s="5" t="s">
        <v>2388</v>
      </c>
      <c r="D409" s="5" t="s">
        <v>428</v>
      </c>
      <c r="E409" s="5" t="s">
        <v>1810</v>
      </c>
      <c r="F409" s="5" t="s">
        <v>1811</v>
      </c>
      <c r="G409" s="5" t="s">
        <v>1496</v>
      </c>
      <c r="H409" s="5"/>
      <c r="I409" s="5"/>
      <c r="J409" s="5"/>
      <c r="K409" s="5" t="s">
        <v>2389</v>
      </c>
      <c r="L409" s="5"/>
      <c r="M409" s="5" t="s">
        <v>2239</v>
      </c>
      <c r="N409" s="5" t="s">
        <v>2390</v>
      </c>
      <c r="O409" s="6" t="s">
        <v>2391</v>
      </c>
    </row>
    <row r="410" customFormat="false" ht="23.85" hidden="false" customHeight="false" outlineLevel="0" collapsed="false">
      <c r="A410" s="5" t="s">
        <v>34</v>
      </c>
      <c r="B410" s="6" t="s">
        <v>2392</v>
      </c>
      <c r="C410" s="5" t="s">
        <v>2393</v>
      </c>
      <c r="D410" s="5" t="s">
        <v>428</v>
      </c>
      <c r="E410" s="5" t="s">
        <v>1810</v>
      </c>
      <c r="F410" s="5" t="s">
        <v>1811</v>
      </c>
      <c r="G410" s="5" t="s">
        <v>1496</v>
      </c>
      <c r="H410" s="5"/>
      <c r="I410" s="5"/>
      <c r="J410" s="5"/>
      <c r="K410" s="5" t="s">
        <v>2394</v>
      </c>
      <c r="L410" s="5"/>
      <c r="M410" s="5" t="s">
        <v>2239</v>
      </c>
      <c r="N410" s="5" t="s">
        <v>2395</v>
      </c>
      <c r="O410" s="6" t="s">
        <v>2396</v>
      </c>
    </row>
    <row r="411" customFormat="false" ht="23.85" hidden="false" customHeight="false" outlineLevel="0" collapsed="false">
      <c r="A411" s="5" t="s">
        <v>34</v>
      </c>
      <c r="B411" s="6" t="s">
        <v>2397</v>
      </c>
      <c r="C411" s="5" t="s">
        <v>2398</v>
      </c>
      <c r="D411" s="5" t="s">
        <v>428</v>
      </c>
      <c r="E411" s="5" t="s">
        <v>1810</v>
      </c>
      <c r="F411" s="5" t="s">
        <v>1811</v>
      </c>
      <c r="G411" s="5" t="s">
        <v>1496</v>
      </c>
      <c r="H411" s="5"/>
      <c r="I411" s="5"/>
      <c r="J411" s="5"/>
      <c r="K411" s="5" t="s">
        <v>2399</v>
      </c>
      <c r="L411" s="5"/>
      <c r="M411" s="5" t="s">
        <v>2239</v>
      </c>
      <c r="N411" s="5" t="s">
        <v>2400</v>
      </c>
      <c r="O411" s="6" t="s">
        <v>2401</v>
      </c>
    </row>
    <row r="412" customFormat="false" ht="23.85" hidden="false" customHeight="false" outlineLevel="0" collapsed="false">
      <c r="A412" s="5" t="s">
        <v>34</v>
      </c>
      <c r="B412" s="6" t="s">
        <v>2402</v>
      </c>
      <c r="C412" s="5" t="s">
        <v>2403</v>
      </c>
      <c r="D412" s="5" t="s">
        <v>428</v>
      </c>
      <c r="E412" s="5" t="s">
        <v>1810</v>
      </c>
      <c r="F412" s="5" t="s">
        <v>1811</v>
      </c>
      <c r="G412" s="5" t="s">
        <v>1496</v>
      </c>
      <c r="H412" s="5"/>
      <c r="I412" s="5"/>
      <c r="J412" s="5"/>
      <c r="K412" s="5" t="s">
        <v>2404</v>
      </c>
      <c r="L412" s="5"/>
      <c r="M412" s="5" t="s">
        <v>2239</v>
      </c>
      <c r="N412" s="5" t="s">
        <v>2405</v>
      </c>
      <c r="O412" s="6" t="s">
        <v>2406</v>
      </c>
    </row>
    <row r="413" customFormat="false" ht="23.85" hidden="false" customHeight="false" outlineLevel="0" collapsed="false">
      <c r="A413" s="5" t="s">
        <v>34</v>
      </c>
      <c r="B413" s="6" t="s">
        <v>2407</v>
      </c>
      <c r="C413" s="5" t="s">
        <v>2408</v>
      </c>
      <c r="D413" s="5" t="s">
        <v>428</v>
      </c>
      <c r="E413" s="5" t="s">
        <v>1810</v>
      </c>
      <c r="F413" s="5" t="s">
        <v>1811</v>
      </c>
      <c r="G413" s="5" t="s">
        <v>1496</v>
      </c>
      <c r="H413" s="5"/>
      <c r="I413" s="5"/>
      <c r="J413" s="5"/>
      <c r="K413" s="5" t="s">
        <v>2409</v>
      </c>
      <c r="L413" s="5"/>
      <c r="M413" s="5" t="s">
        <v>2239</v>
      </c>
      <c r="N413" s="5" t="s">
        <v>2410</v>
      </c>
      <c r="O413" s="6" t="s">
        <v>2411</v>
      </c>
    </row>
    <row r="414" customFormat="false" ht="23.85" hidden="false" customHeight="false" outlineLevel="0" collapsed="false">
      <c r="A414" s="5" t="s">
        <v>34</v>
      </c>
      <c r="B414" s="6" t="s">
        <v>2412</v>
      </c>
      <c r="C414" s="5" t="s">
        <v>2413</v>
      </c>
      <c r="D414" s="5" t="s">
        <v>428</v>
      </c>
      <c r="E414" s="5" t="s">
        <v>1810</v>
      </c>
      <c r="F414" s="5" t="s">
        <v>1811</v>
      </c>
      <c r="G414" s="5" t="s">
        <v>1496</v>
      </c>
      <c r="H414" s="5"/>
      <c r="I414" s="5"/>
      <c r="J414" s="5"/>
      <c r="K414" s="5" t="s">
        <v>2414</v>
      </c>
      <c r="L414" s="5"/>
      <c r="M414" s="5" t="s">
        <v>2239</v>
      </c>
      <c r="N414" s="5" t="s">
        <v>2415</v>
      </c>
      <c r="O414" s="6" t="s">
        <v>2416</v>
      </c>
    </row>
    <row r="415" customFormat="false" ht="23.85" hidden="false" customHeight="false" outlineLevel="0" collapsed="false">
      <c r="A415" s="5" t="s">
        <v>34</v>
      </c>
      <c r="B415" s="6" t="s">
        <v>2417</v>
      </c>
      <c r="C415" s="5" t="s">
        <v>2418</v>
      </c>
      <c r="D415" s="5" t="s">
        <v>428</v>
      </c>
      <c r="E415" s="5" t="s">
        <v>1810</v>
      </c>
      <c r="F415" s="5" t="s">
        <v>1811</v>
      </c>
      <c r="G415" s="5" t="s">
        <v>1496</v>
      </c>
      <c r="H415" s="5"/>
      <c r="I415" s="5"/>
      <c r="J415" s="5"/>
      <c r="K415" s="5" t="s">
        <v>2419</v>
      </c>
      <c r="L415" s="5"/>
      <c r="M415" s="5" t="s">
        <v>2239</v>
      </c>
      <c r="N415" s="5" t="s">
        <v>2420</v>
      </c>
      <c r="O415" s="6" t="s">
        <v>2421</v>
      </c>
    </row>
    <row r="416" customFormat="false" ht="23.85" hidden="false" customHeight="false" outlineLevel="0" collapsed="false">
      <c r="A416" s="5" t="s">
        <v>34</v>
      </c>
      <c r="B416" s="6" t="s">
        <v>2422</v>
      </c>
      <c r="C416" s="5" t="s">
        <v>2423</v>
      </c>
      <c r="D416" s="5" t="s">
        <v>428</v>
      </c>
      <c r="E416" s="5" t="s">
        <v>1810</v>
      </c>
      <c r="F416" s="5" t="s">
        <v>1811</v>
      </c>
      <c r="G416" s="5" t="s">
        <v>1496</v>
      </c>
      <c r="H416" s="5"/>
      <c r="I416" s="5"/>
      <c r="J416" s="5"/>
      <c r="K416" s="5" t="s">
        <v>2424</v>
      </c>
      <c r="L416" s="5"/>
      <c r="M416" s="5" t="s">
        <v>2239</v>
      </c>
      <c r="N416" s="5" t="s">
        <v>2425</v>
      </c>
      <c r="O416" s="6" t="s">
        <v>2426</v>
      </c>
    </row>
    <row r="417" customFormat="false" ht="23.85" hidden="false" customHeight="false" outlineLevel="0" collapsed="false">
      <c r="A417" s="5" t="s">
        <v>34</v>
      </c>
      <c r="B417" s="6" t="s">
        <v>2427</v>
      </c>
      <c r="C417" s="5" t="s">
        <v>2428</v>
      </c>
      <c r="D417" s="5" t="s">
        <v>428</v>
      </c>
      <c r="E417" s="5" t="s">
        <v>1810</v>
      </c>
      <c r="F417" s="5" t="s">
        <v>1811</v>
      </c>
      <c r="G417" s="5" t="s">
        <v>1496</v>
      </c>
      <c r="H417" s="5"/>
      <c r="I417" s="5"/>
      <c r="J417" s="5"/>
      <c r="K417" s="5" t="s">
        <v>2429</v>
      </c>
      <c r="L417" s="5"/>
      <c r="M417" s="5" t="s">
        <v>2239</v>
      </c>
      <c r="N417" s="5" t="s">
        <v>2430</v>
      </c>
      <c r="O417" s="6" t="s">
        <v>2431</v>
      </c>
    </row>
    <row r="418" customFormat="false" ht="23.85" hidden="false" customHeight="false" outlineLevel="0" collapsed="false">
      <c r="A418" s="5" t="s">
        <v>34</v>
      </c>
      <c r="B418" s="6" t="s">
        <v>2432</v>
      </c>
      <c r="C418" s="5" t="s">
        <v>2433</v>
      </c>
      <c r="D418" s="5" t="s">
        <v>428</v>
      </c>
      <c r="E418" s="5" t="s">
        <v>1810</v>
      </c>
      <c r="F418" s="5" t="s">
        <v>1811</v>
      </c>
      <c r="G418" s="5" t="s">
        <v>1496</v>
      </c>
      <c r="H418" s="5"/>
      <c r="I418" s="5"/>
      <c r="J418" s="5"/>
      <c r="K418" s="5" t="s">
        <v>2434</v>
      </c>
      <c r="L418" s="5"/>
      <c r="M418" s="5" t="s">
        <v>2239</v>
      </c>
      <c r="N418" s="5" t="s">
        <v>2435</v>
      </c>
      <c r="O418" s="6" t="s">
        <v>2436</v>
      </c>
    </row>
    <row r="419" customFormat="false" ht="23.85" hidden="false" customHeight="false" outlineLevel="0" collapsed="false">
      <c r="A419" s="5" t="s">
        <v>34</v>
      </c>
      <c r="B419" s="6" t="s">
        <v>2437</v>
      </c>
      <c r="C419" s="5" t="s">
        <v>2438</v>
      </c>
      <c r="D419" s="5" t="s">
        <v>428</v>
      </c>
      <c r="E419" s="5" t="s">
        <v>1810</v>
      </c>
      <c r="F419" s="5" t="s">
        <v>1811</v>
      </c>
      <c r="G419" s="5" t="s">
        <v>1496</v>
      </c>
      <c r="H419" s="5"/>
      <c r="I419" s="5"/>
      <c r="J419" s="5"/>
      <c r="K419" s="5" t="s">
        <v>2439</v>
      </c>
      <c r="L419" s="5"/>
      <c r="M419" s="5" t="s">
        <v>2239</v>
      </c>
      <c r="N419" s="5" t="s">
        <v>2440</v>
      </c>
      <c r="O419" s="6" t="s">
        <v>2441</v>
      </c>
    </row>
    <row r="420" customFormat="false" ht="23.85" hidden="false" customHeight="false" outlineLevel="0" collapsed="false">
      <c r="A420" s="5" t="s">
        <v>34</v>
      </c>
      <c r="B420" s="6" t="s">
        <v>2442</v>
      </c>
      <c r="C420" s="5" t="s">
        <v>2443</v>
      </c>
      <c r="D420" s="5" t="s">
        <v>428</v>
      </c>
      <c r="E420" s="5" t="s">
        <v>1810</v>
      </c>
      <c r="F420" s="5" t="s">
        <v>1811</v>
      </c>
      <c r="G420" s="5" t="s">
        <v>1496</v>
      </c>
      <c r="H420" s="5"/>
      <c r="I420" s="5"/>
      <c r="J420" s="5"/>
      <c r="K420" s="5" t="s">
        <v>2444</v>
      </c>
      <c r="L420" s="5"/>
      <c r="M420" s="5" t="s">
        <v>2239</v>
      </c>
      <c r="N420" s="5" t="s">
        <v>2445</v>
      </c>
      <c r="O420" s="6" t="s">
        <v>2446</v>
      </c>
    </row>
    <row r="421" customFormat="false" ht="32.8" hidden="false" customHeight="false" outlineLevel="0" collapsed="false">
      <c r="A421" s="5" t="s">
        <v>34</v>
      </c>
      <c r="B421" s="6" t="s">
        <v>2447</v>
      </c>
      <c r="C421" s="5" t="s">
        <v>2448</v>
      </c>
      <c r="D421" s="5" t="s">
        <v>509</v>
      </c>
      <c r="E421" s="5" t="s">
        <v>1810</v>
      </c>
      <c r="F421" s="5" t="s">
        <v>1811</v>
      </c>
      <c r="G421" s="5" t="s">
        <v>1496</v>
      </c>
      <c r="H421" s="5"/>
      <c r="I421" s="5"/>
      <c r="J421" s="5"/>
      <c r="K421" s="5" t="s">
        <v>2449</v>
      </c>
      <c r="L421" s="5"/>
      <c r="M421" s="5" t="s">
        <v>2450</v>
      </c>
      <c r="N421" s="5" t="s">
        <v>2451</v>
      </c>
      <c r="O421" s="6" t="s">
        <v>2452</v>
      </c>
    </row>
    <row r="422" customFormat="false" ht="32.8" hidden="false" customHeight="false" outlineLevel="0" collapsed="false">
      <c r="A422" s="5" t="s">
        <v>34</v>
      </c>
      <c r="B422" s="6" t="s">
        <v>2453</v>
      </c>
      <c r="C422" s="5" t="s">
        <v>2454</v>
      </c>
      <c r="D422" s="5" t="s">
        <v>509</v>
      </c>
      <c r="E422" s="5" t="s">
        <v>1810</v>
      </c>
      <c r="F422" s="5" t="s">
        <v>1811</v>
      </c>
      <c r="G422" s="5" t="s">
        <v>1496</v>
      </c>
      <c r="H422" s="5"/>
      <c r="I422" s="5"/>
      <c r="J422" s="5"/>
      <c r="K422" s="5" t="s">
        <v>2455</v>
      </c>
      <c r="L422" s="5"/>
      <c r="M422" s="5" t="s">
        <v>2450</v>
      </c>
      <c r="N422" s="5" t="s">
        <v>2456</v>
      </c>
      <c r="O422" s="6" t="s">
        <v>2457</v>
      </c>
    </row>
    <row r="423" customFormat="false" ht="32.8" hidden="false" customHeight="false" outlineLevel="0" collapsed="false">
      <c r="A423" s="5" t="s">
        <v>34</v>
      </c>
      <c r="B423" s="6" t="s">
        <v>2458</v>
      </c>
      <c r="C423" s="5" t="s">
        <v>2459</v>
      </c>
      <c r="D423" s="5" t="s">
        <v>509</v>
      </c>
      <c r="E423" s="5" t="s">
        <v>1810</v>
      </c>
      <c r="F423" s="5" t="s">
        <v>1811</v>
      </c>
      <c r="G423" s="5" t="s">
        <v>1496</v>
      </c>
      <c r="H423" s="5"/>
      <c r="I423" s="5"/>
      <c r="J423" s="5"/>
      <c r="K423" s="5" t="s">
        <v>2460</v>
      </c>
      <c r="L423" s="5"/>
      <c r="M423" s="5" t="s">
        <v>2450</v>
      </c>
      <c r="N423" s="5" t="s">
        <v>2461</v>
      </c>
      <c r="O423" s="6" t="s">
        <v>2462</v>
      </c>
    </row>
    <row r="424" customFormat="false" ht="32.8" hidden="false" customHeight="false" outlineLevel="0" collapsed="false">
      <c r="A424" s="5" t="s">
        <v>34</v>
      </c>
      <c r="B424" s="6" t="s">
        <v>2463</v>
      </c>
      <c r="C424" s="5" t="s">
        <v>2464</v>
      </c>
      <c r="D424" s="5" t="s">
        <v>509</v>
      </c>
      <c r="E424" s="5" t="s">
        <v>1810</v>
      </c>
      <c r="F424" s="5" t="s">
        <v>1811</v>
      </c>
      <c r="G424" s="5" t="s">
        <v>1496</v>
      </c>
      <c r="H424" s="5"/>
      <c r="I424" s="5"/>
      <c r="J424" s="5"/>
      <c r="K424" s="5" t="s">
        <v>2465</v>
      </c>
      <c r="L424" s="5"/>
      <c r="M424" s="5" t="s">
        <v>2450</v>
      </c>
      <c r="N424" s="5" t="s">
        <v>2466</v>
      </c>
      <c r="O424" s="6" t="s">
        <v>2467</v>
      </c>
    </row>
    <row r="425" customFormat="false" ht="32.8" hidden="false" customHeight="false" outlineLevel="0" collapsed="false">
      <c r="A425" s="5" t="s">
        <v>34</v>
      </c>
      <c r="B425" s="6" t="s">
        <v>2468</v>
      </c>
      <c r="C425" s="5" t="s">
        <v>2469</v>
      </c>
      <c r="D425" s="5" t="s">
        <v>509</v>
      </c>
      <c r="E425" s="5" t="s">
        <v>1810</v>
      </c>
      <c r="F425" s="5" t="s">
        <v>1811</v>
      </c>
      <c r="G425" s="5" t="s">
        <v>1496</v>
      </c>
      <c r="H425" s="5"/>
      <c r="I425" s="5"/>
      <c r="J425" s="5"/>
      <c r="K425" s="5" t="s">
        <v>2470</v>
      </c>
      <c r="L425" s="5"/>
      <c r="M425" s="5" t="s">
        <v>2450</v>
      </c>
      <c r="N425" s="5" t="s">
        <v>2471</v>
      </c>
      <c r="O425" s="6" t="s">
        <v>2472</v>
      </c>
    </row>
    <row r="426" customFormat="false" ht="32.8" hidden="false" customHeight="false" outlineLevel="0" collapsed="false">
      <c r="A426" s="5" t="s">
        <v>34</v>
      </c>
      <c r="B426" s="6" t="s">
        <v>2473</v>
      </c>
      <c r="C426" s="5" t="s">
        <v>2474</v>
      </c>
      <c r="D426" s="5" t="s">
        <v>509</v>
      </c>
      <c r="E426" s="5" t="s">
        <v>1810</v>
      </c>
      <c r="F426" s="5" t="s">
        <v>1811</v>
      </c>
      <c r="G426" s="5" t="s">
        <v>1496</v>
      </c>
      <c r="H426" s="5"/>
      <c r="I426" s="5"/>
      <c r="J426" s="5"/>
      <c r="K426" s="5" t="s">
        <v>2475</v>
      </c>
      <c r="L426" s="5"/>
      <c r="M426" s="5" t="s">
        <v>2450</v>
      </c>
      <c r="N426" s="5" t="s">
        <v>2476</v>
      </c>
      <c r="O426" s="6" t="s">
        <v>2477</v>
      </c>
    </row>
    <row r="427" customFormat="false" ht="32.8" hidden="false" customHeight="false" outlineLevel="0" collapsed="false">
      <c r="A427" s="5" t="s">
        <v>34</v>
      </c>
      <c r="B427" s="6" t="s">
        <v>2478</v>
      </c>
      <c r="C427" s="5" t="s">
        <v>2479</v>
      </c>
      <c r="D427" s="5" t="s">
        <v>509</v>
      </c>
      <c r="E427" s="5" t="s">
        <v>1810</v>
      </c>
      <c r="F427" s="5" t="s">
        <v>1811</v>
      </c>
      <c r="G427" s="5" t="s">
        <v>1496</v>
      </c>
      <c r="H427" s="5"/>
      <c r="I427" s="5"/>
      <c r="J427" s="5"/>
      <c r="K427" s="5" t="s">
        <v>2480</v>
      </c>
      <c r="L427" s="5"/>
      <c r="M427" s="5" t="s">
        <v>2450</v>
      </c>
      <c r="N427" s="5" t="s">
        <v>2481</v>
      </c>
      <c r="O427" s="6" t="s">
        <v>2482</v>
      </c>
    </row>
    <row r="428" customFormat="false" ht="32.8" hidden="false" customHeight="false" outlineLevel="0" collapsed="false">
      <c r="A428" s="5" t="s">
        <v>34</v>
      </c>
      <c r="B428" s="6" t="s">
        <v>2483</v>
      </c>
      <c r="C428" s="5" t="s">
        <v>2484</v>
      </c>
      <c r="D428" s="5" t="s">
        <v>509</v>
      </c>
      <c r="E428" s="5" t="s">
        <v>1810</v>
      </c>
      <c r="F428" s="5" t="s">
        <v>1811</v>
      </c>
      <c r="G428" s="5" t="s">
        <v>1496</v>
      </c>
      <c r="H428" s="5"/>
      <c r="I428" s="5"/>
      <c r="J428" s="5"/>
      <c r="K428" s="5" t="s">
        <v>2485</v>
      </c>
      <c r="L428" s="5"/>
      <c r="M428" s="5" t="s">
        <v>2450</v>
      </c>
      <c r="N428" s="5" t="s">
        <v>2486</v>
      </c>
      <c r="O428" s="6" t="s">
        <v>2487</v>
      </c>
    </row>
    <row r="429" customFormat="false" ht="32.8" hidden="false" customHeight="false" outlineLevel="0" collapsed="false">
      <c r="A429" s="5" t="s">
        <v>34</v>
      </c>
      <c r="B429" s="6" t="s">
        <v>2488</v>
      </c>
      <c r="C429" s="5" t="s">
        <v>2489</v>
      </c>
      <c r="D429" s="5" t="s">
        <v>509</v>
      </c>
      <c r="E429" s="5" t="s">
        <v>1810</v>
      </c>
      <c r="F429" s="5" t="s">
        <v>1811</v>
      </c>
      <c r="G429" s="5" t="s">
        <v>1496</v>
      </c>
      <c r="H429" s="5"/>
      <c r="I429" s="5"/>
      <c r="J429" s="5"/>
      <c r="K429" s="5" t="s">
        <v>2490</v>
      </c>
      <c r="L429" s="5"/>
      <c r="M429" s="5" t="s">
        <v>2450</v>
      </c>
      <c r="N429" s="5" t="s">
        <v>2491</v>
      </c>
      <c r="O429" s="6" t="s">
        <v>2492</v>
      </c>
    </row>
    <row r="430" customFormat="false" ht="32.8" hidden="false" customHeight="false" outlineLevel="0" collapsed="false">
      <c r="A430" s="5" t="s">
        <v>34</v>
      </c>
      <c r="B430" s="6" t="s">
        <v>2493</v>
      </c>
      <c r="C430" s="5" t="s">
        <v>2494</v>
      </c>
      <c r="D430" s="5" t="s">
        <v>509</v>
      </c>
      <c r="E430" s="5" t="s">
        <v>1810</v>
      </c>
      <c r="F430" s="5" t="s">
        <v>1811</v>
      </c>
      <c r="G430" s="5" t="s">
        <v>1496</v>
      </c>
      <c r="H430" s="5"/>
      <c r="I430" s="5"/>
      <c r="J430" s="5"/>
      <c r="K430" s="5" t="s">
        <v>2495</v>
      </c>
      <c r="L430" s="5"/>
      <c r="M430" s="5" t="s">
        <v>2450</v>
      </c>
      <c r="N430" s="5" t="s">
        <v>2496</v>
      </c>
      <c r="O430" s="6" t="s">
        <v>2497</v>
      </c>
    </row>
    <row r="431" customFormat="false" ht="32.8" hidden="false" customHeight="false" outlineLevel="0" collapsed="false">
      <c r="A431" s="5" t="s">
        <v>34</v>
      </c>
      <c r="B431" s="6" t="s">
        <v>2498</v>
      </c>
      <c r="C431" s="5" t="s">
        <v>2499</v>
      </c>
      <c r="D431" s="5" t="s">
        <v>509</v>
      </c>
      <c r="E431" s="5" t="s">
        <v>1810</v>
      </c>
      <c r="F431" s="5" t="s">
        <v>1811</v>
      </c>
      <c r="G431" s="5" t="s">
        <v>1496</v>
      </c>
      <c r="H431" s="5"/>
      <c r="I431" s="5"/>
      <c r="J431" s="5"/>
      <c r="K431" s="5" t="s">
        <v>2500</v>
      </c>
      <c r="L431" s="5"/>
      <c r="M431" s="5" t="s">
        <v>2450</v>
      </c>
      <c r="N431" s="5" t="s">
        <v>2501</v>
      </c>
      <c r="O431" s="6" t="s">
        <v>2502</v>
      </c>
    </row>
    <row r="432" customFormat="false" ht="32.8" hidden="false" customHeight="false" outlineLevel="0" collapsed="false">
      <c r="A432" s="5" t="s">
        <v>34</v>
      </c>
      <c r="B432" s="6" t="s">
        <v>2503</v>
      </c>
      <c r="C432" s="5" t="s">
        <v>2504</v>
      </c>
      <c r="D432" s="5" t="s">
        <v>509</v>
      </c>
      <c r="E432" s="5" t="s">
        <v>1810</v>
      </c>
      <c r="F432" s="5" t="s">
        <v>1811</v>
      </c>
      <c r="G432" s="5" t="s">
        <v>1496</v>
      </c>
      <c r="H432" s="5"/>
      <c r="I432" s="5"/>
      <c r="J432" s="5"/>
      <c r="K432" s="5" t="s">
        <v>2505</v>
      </c>
      <c r="L432" s="5"/>
      <c r="M432" s="5" t="s">
        <v>2450</v>
      </c>
      <c r="N432" s="5" t="s">
        <v>2506</v>
      </c>
      <c r="O432" s="6" t="s">
        <v>2507</v>
      </c>
    </row>
    <row r="433" customFormat="false" ht="32.8" hidden="false" customHeight="false" outlineLevel="0" collapsed="false">
      <c r="A433" s="5" t="s">
        <v>34</v>
      </c>
      <c r="B433" s="6" t="s">
        <v>2508</v>
      </c>
      <c r="C433" s="5" t="s">
        <v>2509</v>
      </c>
      <c r="D433" s="5" t="s">
        <v>509</v>
      </c>
      <c r="E433" s="5" t="s">
        <v>1810</v>
      </c>
      <c r="F433" s="5" t="s">
        <v>1811</v>
      </c>
      <c r="G433" s="5" t="s">
        <v>1496</v>
      </c>
      <c r="H433" s="5"/>
      <c r="I433" s="5"/>
      <c r="J433" s="5"/>
      <c r="K433" s="5" t="s">
        <v>2510</v>
      </c>
      <c r="L433" s="5"/>
      <c r="M433" s="5" t="s">
        <v>2450</v>
      </c>
      <c r="N433" s="5" t="s">
        <v>2511</v>
      </c>
      <c r="O433" s="6" t="s">
        <v>2512</v>
      </c>
    </row>
    <row r="434" customFormat="false" ht="32.8" hidden="false" customHeight="false" outlineLevel="0" collapsed="false">
      <c r="A434" s="5" t="s">
        <v>34</v>
      </c>
      <c r="B434" s="6" t="s">
        <v>2513</v>
      </c>
      <c r="C434" s="5" t="s">
        <v>2514</v>
      </c>
      <c r="D434" s="5" t="s">
        <v>509</v>
      </c>
      <c r="E434" s="5" t="s">
        <v>1810</v>
      </c>
      <c r="F434" s="5" t="s">
        <v>1811</v>
      </c>
      <c r="G434" s="5" t="s">
        <v>1496</v>
      </c>
      <c r="H434" s="5"/>
      <c r="I434" s="5"/>
      <c r="J434" s="5"/>
      <c r="K434" s="5" t="s">
        <v>2515</v>
      </c>
      <c r="L434" s="5"/>
      <c r="M434" s="5" t="s">
        <v>2450</v>
      </c>
      <c r="N434" s="5" t="s">
        <v>2516</v>
      </c>
      <c r="O434" s="6" t="s">
        <v>2517</v>
      </c>
    </row>
    <row r="435" customFormat="false" ht="32.8" hidden="false" customHeight="false" outlineLevel="0" collapsed="false">
      <c r="A435" s="5" t="s">
        <v>34</v>
      </c>
      <c r="B435" s="6" t="s">
        <v>2518</v>
      </c>
      <c r="C435" s="5" t="s">
        <v>2519</v>
      </c>
      <c r="D435" s="5" t="s">
        <v>509</v>
      </c>
      <c r="E435" s="5" t="s">
        <v>1810</v>
      </c>
      <c r="F435" s="5" t="s">
        <v>1811</v>
      </c>
      <c r="G435" s="5" t="s">
        <v>1496</v>
      </c>
      <c r="H435" s="5"/>
      <c r="I435" s="5"/>
      <c r="J435" s="5"/>
      <c r="K435" s="5" t="s">
        <v>2520</v>
      </c>
      <c r="L435" s="5"/>
      <c r="M435" s="5" t="s">
        <v>2450</v>
      </c>
      <c r="N435" s="5" t="s">
        <v>2521</v>
      </c>
      <c r="O435" s="6" t="s">
        <v>2522</v>
      </c>
    </row>
    <row r="436" customFormat="false" ht="32.8" hidden="false" customHeight="false" outlineLevel="0" collapsed="false">
      <c r="A436" s="5" t="s">
        <v>34</v>
      </c>
      <c r="B436" s="6" t="s">
        <v>2523</v>
      </c>
      <c r="C436" s="5" t="s">
        <v>2524</v>
      </c>
      <c r="D436" s="5" t="s">
        <v>509</v>
      </c>
      <c r="E436" s="5" t="s">
        <v>1810</v>
      </c>
      <c r="F436" s="5" t="s">
        <v>1811</v>
      </c>
      <c r="G436" s="5" t="s">
        <v>1496</v>
      </c>
      <c r="H436" s="5"/>
      <c r="I436" s="5"/>
      <c r="J436" s="5"/>
      <c r="K436" s="5" t="s">
        <v>2525</v>
      </c>
      <c r="L436" s="5"/>
      <c r="M436" s="5" t="s">
        <v>2450</v>
      </c>
      <c r="N436" s="5" t="s">
        <v>2526</v>
      </c>
      <c r="O436" s="6" t="s">
        <v>2527</v>
      </c>
    </row>
    <row r="437" customFormat="false" ht="32.8" hidden="false" customHeight="false" outlineLevel="0" collapsed="false">
      <c r="A437" s="5" t="s">
        <v>34</v>
      </c>
      <c r="B437" s="6" t="s">
        <v>2528</v>
      </c>
      <c r="C437" s="5" t="s">
        <v>2529</v>
      </c>
      <c r="D437" s="5" t="s">
        <v>509</v>
      </c>
      <c r="E437" s="5" t="s">
        <v>1810</v>
      </c>
      <c r="F437" s="5" t="s">
        <v>1811</v>
      </c>
      <c r="G437" s="5" t="s">
        <v>1496</v>
      </c>
      <c r="H437" s="5"/>
      <c r="I437" s="5"/>
      <c r="J437" s="5"/>
      <c r="K437" s="5" t="s">
        <v>2530</v>
      </c>
      <c r="L437" s="5"/>
      <c r="M437" s="5" t="s">
        <v>2450</v>
      </c>
      <c r="N437" s="5" t="s">
        <v>2531</v>
      </c>
      <c r="O437" s="6" t="s">
        <v>2532</v>
      </c>
    </row>
    <row r="438" customFormat="false" ht="32.8" hidden="false" customHeight="false" outlineLevel="0" collapsed="false">
      <c r="A438" s="5" t="s">
        <v>34</v>
      </c>
      <c r="B438" s="6" t="s">
        <v>2533</v>
      </c>
      <c r="C438" s="5" t="s">
        <v>2534</v>
      </c>
      <c r="D438" s="5" t="s">
        <v>509</v>
      </c>
      <c r="E438" s="5" t="s">
        <v>1810</v>
      </c>
      <c r="F438" s="5" t="s">
        <v>1811</v>
      </c>
      <c r="G438" s="5" t="s">
        <v>1496</v>
      </c>
      <c r="H438" s="5"/>
      <c r="I438" s="5"/>
      <c r="J438" s="5"/>
      <c r="K438" s="5" t="s">
        <v>2535</v>
      </c>
      <c r="L438" s="5"/>
      <c r="M438" s="5" t="s">
        <v>2450</v>
      </c>
      <c r="N438" s="5" t="s">
        <v>2536</v>
      </c>
      <c r="O438" s="6" t="s">
        <v>2537</v>
      </c>
    </row>
    <row r="439" customFormat="false" ht="32.8" hidden="false" customHeight="false" outlineLevel="0" collapsed="false">
      <c r="A439" s="5" t="s">
        <v>34</v>
      </c>
      <c r="B439" s="6" t="s">
        <v>2538</v>
      </c>
      <c r="C439" s="5" t="s">
        <v>2539</v>
      </c>
      <c r="D439" s="5" t="s">
        <v>509</v>
      </c>
      <c r="E439" s="5" t="s">
        <v>1810</v>
      </c>
      <c r="F439" s="5" t="s">
        <v>1811</v>
      </c>
      <c r="G439" s="5" t="s">
        <v>1496</v>
      </c>
      <c r="H439" s="5"/>
      <c r="I439" s="5"/>
      <c r="J439" s="5"/>
      <c r="K439" s="5" t="s">
        <v>2540</v>
      </c>
      <c r="L439" s="5"/>
      <c r="M439" s="5" t="s">
        <v>2450</v>
      </c>
      <c r="N439" s="5" t="s">
        <v>2541</v>
      </c>
      <c r="O439" s="6" t="s">
        <v>2542</v>
      </c>
    </row>
    <row r="440" customFormat="false" ht="32.8" hidden="false" customHeight="false" outlineLevel="0" collapsed="false">
      <c r="A440" s="5" t="s">
        <v>34</v>
      </c>
      <c r="B440" s="6" t="s">
        <v>2543</v>
      </c>
      <c r="C440" s="5" t="s">
        <v>2544</v>
      </c>
      <c r="D440" s="5" t="s">
        <v>509</v>
      </c>
      <c r="E440" s="5" t="s">
        <v>1810</v>
      </c>
      <c r="F440" s="5" t="s">
        <v>1811</v>
      </c>
      <c r="G440" s="5" t="s">
        <v>1496</v>
      </c>
      <c r="H440" s="5"/>
      <c r="I440" s="5"/>
      <c r="J440" s="5"/>
      <c r="K440" s="5" t="s">
        <v>2545</v>
      </c>
      <c r="L440" s="5"/>
      <c r="M440" s="5" t="s">
        <v>2450</v>
      </c>
      <c r="N440" s="5" t="s">
        <v>2546</v>
      </c>
      <c r="O440" s="6" t="s">
        <v>2547</v>
      </c>
    </row>
    <row r="441" customFormat="false" ht="32.8" hidden="false" customHeight="false" outlineLevel="0" collapsed="false">
      <c r="A441" s="5" t="s">
        <v>34</v>
      </c>
      <c r="B441" s="6" t="s">
        <v>2548</v>
      </c>
      <c r="C441" s="5" t="s">
        <v>2549</v>
      </c>
      <c r="D441" s="5" t="s">
        <v>509</v>
      </c>
      <c r="E441" s="5" t="s">
        <v>1810</v>
      </c>
      <c r="F441" s="5" t="s">
        <v>1811</v>
      </c>
      <c r="G441" s="5" t="s">
        <v>1496</v>
      </c>
      <c r="H441" s="5"/>
      <c r="I441" s="5"/>
      <c r="J441" s="5"/>
      <c r="K441" s="5" t="s">
        <v>2550</v>
      </c>
      <c r="L441" s="5"/>
      <c r="M441" s="5" t="s">
        <v>2450</v>
      </c>
      <c r="N441" s="5" t="s">
        <v>2551</v>
      </c>
      <c r="O441" s="6" t="s">
        <v>2552</v>
      </c>
    </row>
    <row r="442" customFormat="false" ht="32.8" hidden="false" customHeight="false" outlineLevel="0" collapsed="false">
      <c r="A442" s="5" t="s">
        <v>34</v>
      </c>
      <c r="B442" s="6" t="s">
        <v>2553</v>
      </c>
      <c r="C442" s="5" t="s">
        <v>2554</v>
      </c>
      <c r="D442" s="5" t="s">
        <v>509</v>
      </c>
      <c r="E442" s="5" t="s">
        <v>1810</v>
      </c>
      <c r="F442" s="5" t="s">
        <v>1811</v>
      </c>
      <c r="G442" s="5" t="s">
        <v>1496</v>
      </c>
      <c r="H442" s="5"/>
      <c r="I442" s="5"/>
      <c r="J442" s="5"/>
      <c r="K442" s="5" t="s">
        <v>2555</v>
      </c>
      <c r="L442" s="5"/>
      <c r="M442" s="5" t="s">
        <v>2450</v>
      </c>
      <c r="N442" s="5" t="s">
        <v>2556</v>
      </c>
      <c r="O442" s="6" t="s">
        <v>2557</v>
      </c>
    </row>
    <row r="443" customFormat="false" ht="32.8" hidden="false" customHeight="false" outlineLevel="0" collapsed="false">
      <c r="A443" s="5" t="s">
        <v>34</v>
      </c>
      <c r="B443" s="6" t="s">
        <v>2558</v>
      </c>
      <c r="C443" s="5" t="s">
        <v>2559</v>
      </c>
      <c r="D443" s="5" t="s">
        <v>509</v>
      </c>
      <c r="E443" s="5" t="s">
        <v>1810</v>
      </c>
      <c r="F443" s="5" t="s">
        <v>1811</v>
      </c>
      <c r="G443" s="5" t="s">
        <v>1496</v>
      </c>
      <c r="H443" s="5"/>
      <c r="I443" s="5"/>
      <c r="J443" s="5"/>
      <c r="K443" s="5" t="s">
        <v>2560</v>
      </c>
      <c r="L443" s="5"/>
      <c r="M443" s="5" t="s">
        <v>2450</v>
      </c>
      <c r="N443" s="5" t="s">
        <v>2561</v>
      </c>
      <c r="O443" s="6" t="s">
        <v>2562</v>
      </c>
    </row>
    <row r="444" customFormat="false" ht="32.8" hidden="false" customHeight="false" outlineLevel="0" collapsed="false">
      <c r="A444" s="5" t="s">
        <v>34</v>
      </c>
      <c r="B444" s="6" t="s">
        <v>2563</v>
      </c>
      <c r="C444" s="5" t="s">
        <v>2564</v>
      </c>
      <c r="D444" s="5" t="s">
        <v>509</v>
      </c>
      <c r="E444" s="5" t="s">
        <v>1810</v>
      </c>
      <c r="F444" s="5" t="s">
        <v>1811</v>
      </c>
      <c r="G444" s="5" t="s">
        <v>1496</v>
      </c>
      <c r="H444" s="5"/>
      <c r="I444" s="5"/>
      <c r="J444" s="5"/>
      <c r="K444" s="5" t="s">
        <v>2565</v>
      </c>
      <c r="L444" s="5"/>
      <c r="M444" s="5" t="s">
        <v>2450</v>
      </c>
      <c r="N444" s="5" t="s">
        <v>2566</v>
      </c>
      <c r="O444" s="6" t="s">
        <v>2567</v>
      </c>
    </row>
    <row r="445" customFormat="false" ht="32.8" hidden="false" customHeight="false" outlineLevel="0" collapsed="false">
      <c r="A445" s="5" t="s">
        <v>34</v>
      </c>
      <c r="B445" s="6" t="s">
        <v>2568</v>
      </c>
      <c r="C445" s="5" t="s">
        <v>2569</v>
      </c>
      <c r="D445" s="5" t="s">
        <v>509</v>
      </c>
      <c r="E445" s="5" t="s">
        <v>1810</v>
      </c>
      <c r="F445" s="5" t="s">
        <v>1811</v>
      </c>
      <c r="G445" s="5" t="s">
        <v>1496</v>
      </c>
      <c r="H445" s="5"/>
      <c r="I445" s="5"/>
      <c r="J445" s="5"/>
      <c r="K445" s="5" t="s">
        <v>2570</v>
      </c>
      <c r="L445" s="5"/>
      <c r="M445" s="5" t="s">
        <v>2450</v>
      </c>
      <c r="N445" s="5" t="s">
        <v>2571</v>
      </c>
      <c r="O445" s="6" t="s">
        <v>2572</v>
      </c>
    </row>
    <row r="446" customFormat="false" ht="32.8" hidden="false" customHeight="false" outlineLevel="0" collapsed="false">
      <c r="A446" s="5" t="s">
        <v>34</v>
      </c>
      <c r="B446" s="6" t="s">
        <v>2573</v>
      </c>
      <c r="C446" s="5" t="s">
        <v>2574</v>
      </c>
      <c r="D446" s="5" t="s">
        <v>509</v>
      </c>
      <c r="E446" s="5" t="s">
        <v>1810</v>
      </c>
      <c r="F446" s="5" t="s">
        <v>1811</v>
      </c>
      <c r="G446" s="5" t="s">
        <v>1496</v>
      </c>
      <c r="H446" s="5"/>
      <c r="I446" s="5"/>
      <c r="J446" s="5"/>
      <c r="K446" s="5" t="s">
        <v>2575</v>
      </c>
      <c r="L446" s="5"/>
      <c r="M446" s="5" t="s">
        <v>2450</v>
      </c>
      <c r="N446" s="5" t="s">
        <v>2576</v>
      </c>
      <c r="O446" s="6" t="s">
        <v>2577</v>
      </c>
    </row>
    <row r="447" customFormat="false" ht="32.8" hidden="false" customHeight="false" outlineLevel="0" collapsed="false">
      <c r="A447" s="5" t="s">
        <v>34</v>
      </c>
      <c r="B447" s="6" t="s">
        <v>2578</v>
      </c>
      <c r="C447" s="5" t="s">
        <v>2579</v>
      </c>
      <c r="D447" s="5" t="s">
        <v>509</v>
      </c>
      <c r="E447" s="5" t="s">
        <v>1810</v>
      </c>
      <c r="F447" s="5" t="s">
        <v>1811</v>
      </c>
      <c r="G447" s="5" t="s">
        <v>1496</v>
      </c>
      <c r="H447" s="5"/>
      <c r="I447" s="5"/>
      <c r="J447" s="5"/>
      <c r="K447" s="5" t="s">
        <v>2580</v>
      </c>
      <c r="L447" s="5"/>
      <c r="M447" s="5" t="s">
        <v>2450</v>
      </c>
      <c r="N447" s="5" t="s">
        <v>2581</v>
      </c>
      <c r="O447" s="6" t="s">
        <v>2582</v>
      </c>
    </row>
    <row r="448" customFormat="false" ht="32.8" hidden="false" customHeight="false" outlineLevel="0" collapsed="false">
      <c r="A448" s="5" t="s">
        <v>34</v>
      </c>
      <c r="B448" s="6" t="s">
        <v>2583</v>
      </c>
      <c r="C448" s="5" t="s">
        <v>2584</v>
      </c>
      <c r="D448" s="5" t="s">
        <v>509</v>
      </c>
      <c r="E448" s="5" t="s">
        <v>1810</v>
      </c>
      <c r="F448" s="5" t="s">
        <v>1811</v>
      </c>
      <c r="G448" s="5" t="s">
        <v>1496</v>
      </c>
      <c r="H448" s="5"/>
      <c r="I448" s="5"/>
      <c r="J448" s="5"/>
      <c r="K448" s="5" t="s">
        <v>2585</v>
      </c>
      <c r="L448" s="5"/>
      <c r="M448" s="5" t="s">
        <v>2450</v>
      </c>
      <c r="N448" s="5" t="s">
        <v>2586</v>
      </c>
      <c r="O448" s="6" t="s">
        <v>2587</v>
      </c>
    </row>
    <row r="449" customFormat="false" ht="32.8" hidden="false" customHeight="false" outlineLevel="0" collapsed="false">
      <c r="A449" s="5" t="s">
        <v>34</v>
      </c>
      <c r="B449" s="6" t="s">
        <v>2588</v>
      </c>
      <c r="C449" s="5" t="s">
        <v>2589</v>
      </c>
      <c r="D449" s="5" t="s">
        <v>509</v>
      </c>
      <c r="E449" s="5" t="s">
        <v>1810</v>
      </c>
      <c r="F449" s="5" t="s">
        <v>1811</v>
      </c>
      <c r="G449" s="5" t="s">
        <v>1496</v>
      </c>
      <c r="H449" s="5"/>
      <c r="I449" s="5"/>
      <c r="J449" s="5"/>
      <c r="K449" s="5" t="s">
        <v>2590</v>
      </c>
      <c r="L449" s="5"/>
      <c r="M449" s="5" t="s">
        <v>2450</v>
      </c>
      <c r="N449" s="5" t="s">
        <v>2591</v>
      </c>
      <c r="O449" s="6" t="s">
        <v>2592</v>
      </c>
    </row>
    <row r="450" customFormat="false" ht="32.8" hidden="false" customHeight="false" outlineLevel="0" collapsed="false">
      <c r="A450" s="5" t="s">
        <v>34</v>
      </c>
      <c r="B450" s="6" t="s">
        <v>2593</v>
      </c>
      <c r="C450" s="5" t="s">
        <v>2594</v>
      </c>
      <c r="D450" s="5" t="s">
        <v>509</v>
      </c>
      <c r="E450" s="5" t="s">
        <v>1810</v>
      </c>
      <c r="F450" s="5" t="s">
        <v>1811</v>
      </c>
      <c r="G450" s="5" t="s">
        <v>1496</v>
      </c>
      <c r="H450" s="5"/>
      <c r="I450" s="5"/>
      <c r="J450" s="5"/>
      <c r="K450" s="5" t="s">
        <v>2595</v>
      </c>
      <c r="L450" s="5"/>
      <c r="M450" s="5" t="s">
        <v>2450</v>
      </c>
      <c r="N450" s="5" t="s">
        <v>2596</v>
      </c>
      <c r="O450" s="6" t="s">
        <v>2597</v>
      </c>
    </row>
    <row r="451" customFormat="false" ht="32.8" hidden="false" customHeight="false" outlineLevel="0" collapsed="false">
      <c r="A451" s="5" t="s">
        <v>34</v>
      </c>
      <c r="B451" s="6" t="s">
        <v>2598</v>
      </c>
      <c r="C451" s="5" t="s">
        <v>2599</v>
      </c>
      <c r="D451" s="5" t="s">
        <v>509</v>
      </c>
      <c r="E451" s="5" t="s">
        <v>1810</v>
      </c>
      <c r="F451" s="5" t="s">
        <v>1811</v>
      </c>
      <c r="G451" s="5" t="s">
        <v>1496</v>
      </c>
      <c r="H451" s="5"/>
      <c r="I451" s="5"/>
      <c r="J451" s="5"/>
      <c r="K451" s="5" t="s">
        <v>2600</v>
      </c>
      <c r="L451" s="5"/>
      <c r="M451" s="5" t="s">
        <v>2450</v>
      </c>
      <c r="N451" s="5" t="s">
        <v>2601</v>
      </c>
      <c r="O451" s="6" t="s">
        <v>2602</v>
      </c>
    </row>
    <row r="452" customFormat="false" ht="32.8" hidden="false" customHeight="false" outlineLevel="0" collapsed="false">
      <c r="A452" s="5" t="s">
        <v>34</v>
      </c>
      <c r="B452" s="6" t="s">
        <v>2603</v>
      </c>
      <c r="C452" s="5" t="s">
        <v>2604</v>
      </c>
      <c r="D452" s="5" t="s">
        <v>509</v>
      </c>
      <c r="E452" s="5" t="s">
        <v>1810</v>
      </c>
      <c r="F452" s="5" t="s">
        <v>1811</v>
      </c>
      <c r="G452" s="5" t="s">
        <v>1496</v>
      </c>
      <c r="H452" s="5"/>
      <c r="I452" s="5"/>
      <c r="J452" s="5"/>
      <c r="K452" s="5" t="s">
        <v>2605</v>
      </c>
      <c r="L452" s="5"/>
      <c r="M452" s="5" t="s">
        <v>2450</v>
      </c>
      <c r="N452" s="5" t="s">
        <v>2606</v>
      </c>
      <c r="O452" s="6" t="s">
        <v>2607</v>
      </c>
    </row>
    <row r="453" customFormat="false" ht="32.8" hidden="false" customHeight="false" outlineLevel="0" collapsed="false">
      <c r="A453" s="5" t="s">
        <v>34</v>
      </c>
      <c r="B453" s="6" t="s">
        <v>2608</v>
      </c>
      <c r="C453" s="5" t="s">
        <v>2609</v>
      </c>
      <c r="D453" s="5" t="s">
        <v>509</v>
      </c>
      <c r="E453" s="5" t="s">
        <v>1810</v>
      </c>
      <c r="F453" s="5" t="s">
        <v>1811</v>
      </c>
      <c r="G453" s="5" t="s">
        <v>1496</v>
      </c>
      <c r="H453" s="5"/>
      <c r="I453" s="5"/>
      <c r="J453" s="5"/>
      <c r="K453" s="5" t="s">
        <v>2610</v>
      </c>
      <c r="L453" s="5"/>
      <c r="M453" s="5" t="s">
        <v>2450</v>
      </c>
      <c r="N453" s="5" t="s">
        <v>2611</v>
      </c>
      <c r="O453" s="6" t="s">
        <v>2612</v>
      </c>
    </row>
    <row r="454" customFormat="false" ht="32.8" hidden="false" customHeight="false" outlineLevel="0" collapsed="false">
      <c r="A454" s="5" t="s">
        <v>34</v>
      </c>
      <c r="B454" s="6" t="s">
        <v>2613</v>
      </c>
      <c r="C454" s="5" t="s">
        <v>2614</v>
      </c>
      <c r="D454" s="5" t="s">
        <v>509</v>
      </c>
      <c r="E454" s="5" t="s">
        <v>1810</v>
      </c>
      <c r="F454" s="5" t="s">
        <v>1811</v>
      </c>
      <c r="G454" s="5" t="s">
        <v>1496</v>
      </c>
      <c r="H454" s="5"/>
      <c r="I454" s="5"/>
      <c r="J454" s="5"/>
      <c r="K454" s="5" t="s">
        <v>2615</v>
      </c>
      <c r="L454" s="5"/>
      <c r="M454" s="5" t="s">
        <v>2450</v>
      </c>
      <c r="N454" s="5" t="s">
        <v>2616</v>
      </c>
      <c r="O454" s="6" t="s">
        <v>2617</v>
      </c>
    </row>
    <row r="455" customFormat="false" ht="32.8" hidden="false" customHeight="false" outlineLevel="0" collapsed="false">
      <c r="A455" s="5" t="s">
        <v>34</v>
      </c>
      <c r="B455" s="6" t="s">
        <v>2618</v>
      </c>
      <c r="C455" s="5" t="s">
        <v>2619</v>
      </c>
      <c r="D455" s="5" t="s">
        <v>509</v>
      </c>
      <c r="E455" s="5" t="s">
        <v>1810</v>
      </c>
      <c r="F455" s="5" t="s">
        <v>1811</v>
      </c>
      <c r="G455" s="5" t="s">
        <v>1496</v>
      </c>
      <c r="H455" s="5"/>
      <c r="I455" s="5"/>
      <c r="J455" s="5"/>
      <c r="K455" s="5" t="s">
        <v>2620</v>
      </c>
      <c r="L455" s="5"/>
      <c r="M455" s="5" t="s">
        <v>2450</v>
      </c>
      <c r="N455" s="5" t="s">
        <v>2621</v>
      </c>
      <c r="O455" s="6" t="s">
        <v>2622</v>
      </c>
    </row>
    <row r="456" customFormat="false" ht="32.8" hidden="false" customHeight="false" outlineLevel="0" collapsed="false">
      <c r="A456" s="5" t="s">
        <v>34</v>
      </c>
      <c r="B456" s="6" t="s">
        <v>2623</v>
      </c>
      <c r="C456" s="5" t="s">
        <v>2624</v>
      </c>
      <c r="D456" s="5" t="s">
        <v>509</v>
      </c>
      <c r="E456" s="5" t="s">
        <v>1810</v>
      </c>
      <c r="F456" s="5" t="s">
        <v>1811</v>
      </c>
      <c r="G456" s="5" t="s">
        <v>1496</v>
      </c>
      <c r="H456" s="5"/>
      <c r="I456" s="5"/>
      <c r="J456" s="5"/>
      <c r="K456" s="5" t="s">
        <v>2625</v>
      </c>
      <c r="L456" s="5"/>
      <c r="M456" s="5" t="s">
        <v>2450</v>
      </c>
      <c r="N456" s="5" t="s">
        <v>2626</v>
      </c>
      <c r="O456" s="6" t="s">
        <v>2627</v>
      </c>
    </row>
    <row r="457" customFormat="false" ht="32.8" hidden="false" customHeight="false" outlineLevel="0" collapsed="false">
      <c r="A457" s="5" t="s">
        <v>34</v>
      </c>
      <c r="B457" s="6" t="s">
        <v>2628</v>
      </c>
      <c r="C457" s="5" t="s">
        <v>2629</v>
      </c>
      <c r="D457" s="5" t="s">
        <v>509</v>
      </c>
      <c r="E457" s="5" t="s">
        <v>1810</v>
      </c>
      <c r="F457" s="5" t="s">
        <v>1811</v>
      </c>
      <c r="G457" s="5" t="s">
        <v>1496</v>
      </c>
      <c r="H457" s="5"/>
      <c r="I457" s="5"/>
      <c r="J457" s="5"/>
      <c r="K457" s="5" t="s">
        <v>2630</v>
      </c>
      <c r="L457" s="5"/>
      <c r="M457" s="5" t="s">
        <v>2450</v>
      </c>
      <c r="N457" s="5" t="s">
        <v>2631</v>
      </c>
      <c r="O457" s="6" t="s">
        <v>2632</v>
      </c>
    </row>
    <row r="458" customFormat="false" ht="32.8" hidden="false" customHeight="false" outlineLevel="0" collapsed="false">
      <c r="A458" s="5" t="s">
        <v>34</v>
      </c>
      <c r="B458" s="6" t="s">
        <v>2633</v>
      </c>
      <c r="C458" s="5" t="s">
        <v>2634</v>
      </c>
      <c r="D458" s="5" t="s">
        <v>509</v>
      </c>
      <c r="E458" s="5" t="s">
        <v>1810</v>
      </c>
      <c r="F458" s="5" t="s">
        <v>1811</v>
      </c>
      <c r="G458" s="5" t="s">
        <v>1496</v>
      </c>
      <c r="H458" s="5"/>
      <c r="I458" s="5"/>
      <c r="J458" s="5"/>
      <c r="K458" s="5" t="s">
        <v>2635</v>
      </c>
      <c r="L458" s="5"/>
      <c r="M458" s="5" t="s">
        <v>2450</v>
      </c>
      <c r="N458" s="5" t="s">
        <v>2636</v>
      </c>
      <c r="O458" s="6" t="s">
        <v>2637</v>
      </c>
    </row>
    <row r="459" customFormat="false" ht="32.8" hidden="false" customHeight="false" outlineLevel="0" collapsed="false">
      <c r="A459" s="5" t="s">
        <v>34</v>
      </c>
      <c r="B459" s="6" t="s">
        <v>2638</v>
      </c>
      <c r="C459" s="5" t="s">
        <v>2639</v>
      </c>
      <c r="D459" s="5" t="s">
        <v>509</v>
      </c>
      <c r="E459" s="5" t="s">
        <v>1810</v>
      </c>
      <c r="F459" s="5" t="s">
        <v>1811</v>
      </c>
      <c r="G459" s="5" t="s">
        <v>1496</v>
      </c>
      <c r="H459" s="5"/>
      <c r="I459" s="5"/>
      <c r="J459" s="5"/>
      <c r="K459" s="5" t="s">
        <v>2640</v>
      </c>
      <c r="L459" s="5"/>
      <c r="M459" s="5" t="s">
        <v>2450</v>
      </c>
      <c r="N459" s="5" t="s">
        <v>2641</v>
      </c>
      <c r="O459" s="6" t="s">
        <v>2642</v>
      </c>
    </row>
    <row r="460" customFormat="false" ht="32.8" hidden="false" customHeight="false" outlineLevel="0" collapsed="false">
      <c r="A460" s="5" t="s">
        <v>34</v>
      </c>
      <c r="B460" s="6" t="s">
        <v>2643</v>
      </c>
      <c r="C460" s="5" t="s">
        <v>2644</v>
      </c>
      <c r="D460" s="5" t="s">
        <v>509</v>
      </c>
      <c r="E460" s="5" t="s">
        <v>1810</v>
      </c>
      <c r="F460" s="5" t="s">
        <v>1811</v>
      </c>
      <c r="G460" s="5" t="s">
        <v>1496</v>
      </c>
      <c r="H460" s="5"/>
      <c r="I460" s="5"/>
      <c r="J460" s="5"/>
      <c r="K460" s="5" t="s">
        <v>2645</v>
      </c>
      <c r="L460" s="5"/>
      <c r="M460" s="5" t="s">
        <v>2450</v>
      </c>
      <c r="N460" s="5" t="s">
        <v>2646</v>
      </c>
      <c r="O460" s="6" t="s">
        <v>2647</v>
      </c>
    </row>
    <row r="461" customFormat="false" ht="32.8" hidden="false" customHeight="false" outlineLevel="0" collapsed="false">
      <c r="A461" s="5" t="s">
        <v>34</v>
      </c>
      <c r="B461" s="6" t="s">
        <v>2648</v>
      </c>
      <c r="C461" s="5" t="s">
        <v>2649</v>
      </c>
      <c r="D461" s="5" t="s">
        <v>509</v>
      </c>
      <c r="E461" s="5" t="s">
        <v>1810</v>
      </c>
      <c r="F461" s="5" t="s">
        <v>1811</v>
      </c>
      <c r="G461" s="5" t="s">
        <v>1496</v>
      </c>
      <c r="H461" s="5"/>
      <c r="I461" s="5"/>
      <c r="J461" s="5"/>
      <c r="K461" s="5" t="s">
        <v>2650</v>
      </c>
      <c r="L461" s="5"/>
      <c r="M461" s="5" t="s">
        <v>2450</v>
      </c>
      <c r="N461" s="5" t="s">
        <v>2651</v>
      </c>
      <c r="O461" s="6" t="s">
        <v>2652</v>
      </c>
    </row>
    <row r="462" customFormat="false" ht="32.8" hidden="false" customHeight="false" outlineLevel="0" collapsed="false">
      <c r="A462" s="5" t="s">
        <v>34</v>
      </c>
      <c r="B462" s="6" t="s">
        <v>2653</v>
      </c>
      <c r="C462" s="5" t="s">
        <v>2654</v>
      </c>
      <c r="D462" s="5" t="s">
        <v>509</v>
      </c>
      <c r="E462" s="5" t="s">
        <v>1810</v>
      </c>
      <c r="F462" s="5" t="s">
        <v>1811</v>
      </c>
      <c r="G462" s="5" t="s">
        <v>1496</v>
      </c>
      <c r="H462" s="5"/>
      <c r="I462" s="5"/>
      <c r="J462" s="5"/>
      <c r="K462" s="5" t="s">
        <v>2655</v>
      </c>
      <c r="L462" s="5"/>
      <c r="M462" s="5" t="s">
        <v>2450</v>
      </c>
      <c r="N462" s="5" t="s">
        <v>2656</v>
      </c>
      <c r="O462" s="6" t="s">
        <v>2657</v>
      </c>
    </row>
    <row r="463" customFormat="false" ht="32.8" hidden="false" customHeight="false" outlineLevel="0" collapsed="false">
      <c r="A463" s="5" t="s">
        <v>34</v>
      </c>
      <c r="B463" s="6" t="s">
        <v>2658</v>
      </c>
      <c r="C463" s="5" t="s">
        <v>2659</v>
      </c>
      <c r="D463" s="5" t="s">
        <v>428</v>
      </c>
      <c r="E463" s="5" t="s">
        <v>510</v>
      </c>
      <c r="F463" s="5" t="s">
        <v>1811</v>
      </c>
      <c r="G463" s="5" t="s">
        <v>1496</v>
      </c>
      <c r="H463" s="5"/>
      <c r="I463" s="5"/>
      <c r="J463" s="5"/>
      <c r="K463" s="5"/>
      <c r="L463" s="5"/>
      <c r="M463" s="5" t="s">
        <v>2660</v>
      </c>
      <c r="N463" s="5" t="s">
        <v>2661</v>
      </c>
      <c r="O463" s="6" t="s">
        <v>2662</v>
      </c>
    </row>
    <row r="464" customFormat="false" ht="32.8" hidden="false" customHeight="false" outlineLevel="0" collapsed="false">
      <c r="A464" s="9" t="s">
        <v>34</v>
      </c>
      <c r="B464" s="10" t="s">
        <v>2663</v>
      </c>
      <c r="C464" s="9" t="s">
        <v>2664</v>
      </c>
      <c r="D464" s="9" t="s">
        <v>509</v>
      </c>
      <c r="E464" s="9" t="s">
        <v>429</v>
      </c>
      <c r="F464" s="9" t="s">
        <v>2665</v>
      </c>
      <c r="G464" s="9" t="s">
        <v>1496</v>
      </c>
      <c r="H464" s="9"/>
      <c r="I464" s="9"/>
      <c r="J464" s="9" t="s">
        <v>2666</v>
      </c>
      <c r="K464" s="9"/>
      <c r="L464" s="9"/>
      <c r="M464" s="9" t="s">
        <v>2667</v>
      </c>
      <c r="N464" s="9" t="s">
        <v>2668</v>
      </c>
      <c r="O464" s="10" t="s">
        <v>2669</v>
      </c>
    </row>
    <row r="465" customFormat="false" ht="22.35" hidden="false" customHeight="false" outlineLevel="0" collapsed="false">
      <c r="A465" s="5" t="s">
        <v>34</v>
      </c>
      <c r="B465" s="6" t="s">
        <v>2670</v>
      </c>
      <c r="C465" s="5" t="s">
        <v>2671</v>
      </c>
      <c r="D465" s="5" t="s">
        <v>437</v>
      </c>
      <c r="E465" s="5" t="s">
        <v>429</v>
      </c>
      <c r="F465" s="5" t="s">
        <v>2665</v>
      </c>
      <c r="G465" s="5" t="s">
        <v>1496</v>
      </c>
      <c r="H465" s="5"/>
      <c r="I465" s="5"/>
      <c r="J465" s="5"/>
      <c r="K465" s="5"/>
      <c r="L465" s="5"/>
      <c r="M465" s="5" t="s">
        <v>2672</v>
      </c>
      <c r="N465" s="5" t="s">
        <v>2673</v>
      </c>
      <c r="O465" s="6" t="s">
        <v>2674</v>
      </c>
    </row>
    <row r="466" customFormat="false" ht="23.85" hidden="false" customHeight="false" outlineLevel="0" collapsed="false">
      <c r="A466" s="5" t="s">
        <v>34</v>
      </c>
      <c r="B466" s="6" t="s">
        <v>2675</v>
      </c>
      <c r="C466" s="5" t="s">
        <v>2676</v>
      </c>
      <c r="D466" s="5" t="s">
        <v>437</v>
      </c>
      <c r="E466" s="5" t="s">
        <v>429</v>
      </c>
      <c r="F466" s="5" t="s">
        <v>2665</v>
      </c>
      <c r="G466" s="5" t="s">
        <v>1496</v>
      </c>
      <c r="H466" s="5"/>
      <c r="I466" s="5"/>
      <c r="J466" s="5"/>
      <c r="K466" s="5"/>
      <c r="L466" s="5"/>
      <c r="M466" s="5" t="s">
        <v>2677</v>
      </c>
      <c r="N466" s="5" t="s">
        <v>2678</v>
      </c>
      <c r="O466" s="6" t="s">
        <v>2679</v>
      </c>
    </row>
    <row r="467" customFormat="false" ht="23.85" hidden="false" customHeight="false" outlineLevel="0" collapsed="false">
      <c r="A467" s="5" t="s">
        <v>34</v>
      </c>
      <c r="B467" s="6" t="s">
        <v>2680</v>
      </c>
      <c r="C467" s="5" t="s">
        <v>2681</v>
      </c>
      <c r="D467" s="5" t="s">
        <v>437</v>
      </c>
      <c r="E467" s="5" t="s">
        <v>429</v>
      </c>
      <c r="F467" s="5" t="s">
        <v>2665</v>
      </c>
      <c r="G467" s="5" t="s">
        <v>1496</v>
      </c>
      <c r="H467" s="5"/>
      <c r="I467" s="5"/>
      <c r="J467" s="5"/>
      <c r="K467" s="5"/>
      <c r="L467" s="5"/>
      <c r="M467" s="5" t="s">
        <v>2682</v>
      </c>
      <c r="N467" s="5" t="s">
        <v>2683</v>
      </c>
      <c r="O467" s="6" t="s">
        <v>2684</v>
      </c>
    </row>
    <row r="468" customFormat="false" ht="32.8" hidden="false" customHeight="false" outlineLevel="0" collapsed="false">
      <c r="A468" s="5" t="s">
        <v>34</v>
      </c>
      <c r="B468" s="6" t="s">
        <v>2685</v>
      </c>
      <c r="C468" s="5" t="s">
        <v>2686</v>
      </c>
      <c r="D468" s="5" t="s">
        <v>428</v>
      </c>
      <c r="E468" s="5" t="s">
        <v>429</v>
      </c>
      <c r="F468" s="5" t="s">
        <v>2665</v>
      </c>
      <c r="G468" s="5" t="s">
        <v>1496</v>
      </c>
      <c r="H468" s="5"/>
      <c r="I468" s="5"/>
      <c r="J468" s="5"/>
      <c r="K468" s="5"/>
      <c r="L468" s="5"/>
      <c r="M468" s="5" t="s">
        <v>2687</v>
      </c>
      <c r="N468" s="5" t="s">
        <v>2688</v>
      </c>
      <c r="O468" s="6" t="s">
        <v>2689</v>
      </c>
    </row>
    <row r="469" customFormat="false" ht="22.35" hidden="false" customHeight="false" outlineLevel="0" collapsed="false">
      <c r="A469" s="5" t="s">
        <v>34</v>
      </c>
      <c r="B469" s="6" t="s">
        <v>2690</v>
      </c>
      <c r="C469" s="5" t="s">
        <v>2691</v>
      </c>
      <c r="D469" s="5" t="s">
        <v>437</v>
      </c>
      <c r="E469" s="5" t="s">
        <v>429</v>
      </c>
      <c r="F469" s="5" t="s">
        <v>2665</v>
      </c>
      <c r="G469" s="5" t="s">
        <v>1496</v>
      </c>
      <c r="H469" s="5"/>
      <c r="I469" s="5"/>
      <c r="J469" s="5"/>
      <c r="K469" s="5"/>
      <c r="L469" s="5"/>
      <c r="M469" s="5" t="s">
        <v>2692</v>
      </c>
      <c r="N469" s="5" t="s">
        <v>2693</v>
      </c>
      <c r="O469" s="6" t="s">
        <v>2694</v>
      </c>
    </row>
    <row r="470" customFormat="false" ht="23.85" hidden="false" customHeight="false" outlineLevel="0" collapsed="false">
      <c r="A470" s="5" t="s">
        <v>34</v>
      </c>
      <c r="B470" s="6" t="s">
        <v>2695</v>
      </c>
      <c r="C470" s="5" t="s">
        <v>2696</v>
      </c>
      <c r="D470" s="5" t="s">
        <v>437</v>
      </c>
      <c r="E470" s="5" t="s">
        <v>429</v>
      </c>
      <c r="F470" s="5" t="s">
        <v>2665</v>
      </c>
      <c r="G470" s="5" t="s">
        <v>1496</v>
      </c>
      <c r="H470" s="5"/>
      <c r="I470" s="5"/>
      <c r="J470" s="5"/>
      <c r="K470" s="5"/>
      <c r="L470" s="5"/>
      <c r="M470" s="5" t="s">
        <v>2697</v>
      </c>
      <c r="N470" s="5" t="s">
        <v>2698</v>
      </c>
      <c r="O470" s="6" t="s">
        <v>2699</v>
      </c>
    </row>
    <row r="471" customFormat="false" ht="23.85" hidden="false" customHeight="false" outlineLevel="0" collapsed="false">
      <c r="A471" s="5" t="s">
        <v>34</v>
      </c>
      <c r="B471" s="6" t="s">
        <v>2700</v>
      </c>
      <c r="C471" s="5" t="s">
        <v>2701</v>
      </c>
      <c r="D471" s="5" t="s">
        <v>437</v>
      </c>
      <c r="E471" s="5" t="s">
        <v>429</v>
      </c>
      <c r="F471" s="5" t="s">
        <v>2665</v>
      </c>
      <c r="G471" s="5" t="s">
        <v>1496</v>
      </c>
      <c r="H471" s="5"/>
      <c r="I471" s="5"/>
      <c r="J471" s="5"/>
      <c r="K471" s="5"/>
      <c r="L471" s="5"/>
      <c r="M471" s="5" t="s">
        <v>2702</v>
      </c>
      <c r="N471" s="5" t="s">
        <v>2703</v>
      </c>
      <c r="O471" s="6" t="s">
        <v>2704</v>
      </c>
    </row>
    <row r="472" customFormat="false" ht="23.85" hidden="false" customHeight="false" outlineLevel="0" collapsed="false">
      <c r="A472" s="5" t="s">
        <v>34</v>
      </c>
      <c r="B472" s="6" t="s">
        <v>2705</v>
      </c>
      <c r="C472" s="5" t="s">
        <v>2706</v>
      </c>
      <c r="D472" s="5" t="s">
        <v>437</v>
      </c>
      <c r="E472" s="5" t="s">
        <v>429</v>
      </c>
      <c r="F472" s="5" t="s">
        <v>2665</v>
      </c>
      <c r="G472" s="5" t="s">
        <v>1496</v>
      </c>
      <c r="H472" s="5"/>
      <c r="I472" s="5"/>
      <c r="J472" s="5"/>
      <c r="K472" s="5" t="s">
        <v>2707</v>
      </c>
      <c r="L472" s="5"/>
      <c r="M472" s="5" t="s">
        <v>2708</v>
      </c>
      <c r="N472" s="5" t="s">
        <v>2709</v>
      </c>
      <c r="O472" s="6" t="s">
        <v>2710</v>
      </c>
    </row>
    <row r="473" customFormat="false" ht="32.8" hidden="false" customHeight="false" outlineLevel="0" collapsed="false">
      <c r="A473" s="5" t="s">
        <v>34</v>
      </c>
      <c r="B473" s="6" t="s">
        <v>2711</v>
      </c>
      <c r="C473" s="5" t="s">
        <v>2712</v>
      </c>
      <c r="D473" s="5" t="s">
        <v>437</v>
      </c>
      <c r="E473" s="5" t="s">
        <v>429</v>
      </c>
      <c r="F473" s="5" t="s">
        <v>2665</v>
      </c>
      <c r="G473" s="5" t="s">
        <v>1496</v>
      </c>
      <c r="H473" s="5"/>
      <c r="I473" s="5"/>
      <c r="J473" s="5"/>
      <c r="K473" s="5" t="s">
        <v>2707</v>
      </c>
      <c r="L473" s="5"/>
      <c r="M473" s="5" t="s">
        <v>2713</v>
      </c>
      <c r="N473" s="5" t="s">
        <v>2714</v>
      </c>
      <c r="O473" s="6" t="s">
        <v>2715</v>
      </c>
    </row>
    <row r="474" customFormat="false" ht="22.35" hidden="false" customHeight="false" outlineLevel="0" collapsed="false">
      <c r="A474" s="5" t="s">
        <v>34</v>
      </c>
      <c r="B474" s="6" t="s">
        <v>2716</v>
      </c>
      <c r="C474" s="5" t="s">
        <v>2717</v>
      </c>
      <c r="D474" s="5" t="s">
        <v>509</v>
      </c>
      <c r="E474" s="5" t="s">
        <v>429</v>
      </c>
      <c r="F474" s="5" t="s">
        <v>2665</v>
      </c>
      <c r="G474" s="5" t="s">
        <v>1496</v>
      </c>
      <c r="H474" s="5"/>
      <c r="I474" s="5"/>
      <c r="J474" s="5"/>
      <c r="K474" s="5"/>
      <c r="L474" s="5"/>
      <c r="M474" s="5" t="s">
        <v>2718</v>
      </c>
      <c r="N474" s="5" t="s">
        <v>2719</v>
      </c>
      <c r="O474" s="6" t="s">
        <v>2720</v>
      </c>
    </row>
    <row r="475" customFormat="false" ht="32.8" hidden="false" customHeight="false" outlineLevel="0" collapsed="false">
      <c r="A475" s="5" t="s">
        <v>34</v>
      </c>
      <c r="B475" s="6" t="s">
        <v>2721</v>
      </c>
      <c r="C475" s="5" t="s">
        <v>2722</v>
      </c>
      <c r="D475" s="5" t="s">
        <v>509</v>
      </c>
      <c r="E475" s="5" t="s">
        <v>429</v>
      </c>
      <c r="F475" s="5" t="s">
        <v>2665</v>
      </c>
      <c r="G475" s="5" t="s">
        <v>1496</v>
      </c>
      <c r="H475" s="5"/>
      <c r="I475" s="5"/>
      <c r="J475" s="5"/>
      <c r="K475" s="5"/>
      <c r="L475" s="5"/>
      <c r="M475" s="5" t="s">
        <v>2723</v>
      </c>
      <c r="N475" s="5" t="s">
        <v>2724</v>
      </c>
      <c r="O475" s="6" t="s">
        <v>2725</v>
      </c>
    </row>
    <row r="476" customFormat="false" ht="22.35" hidden="false" customHeight="false" outlineLevel="0" collapsed="false">
      <c r="A476" s="5" t="s">
        <v>34</v>
      </c>
      <c r="B476" s="6" t="s">
        <v>2726</v>
      </c>
      <c r="C476" s="5" t="s">
        <v>2727</v>
      </c>
      <c r="D476" s="5" t="s">
        <v>437</v>
      </c>
      <c r="E476" s="5" t="s">
        <v>429</v>
      </c>
      <c r="F476" s="5" t="s">
        <v>2665</v>
      </c>
      <c r="G476" s="5" t="s">
        <v>1496</v>
      </c>
      <c r="H476" s="5"/>
      <c r="I476" s="5"/>
      <c r="J476" s="5"/>
      <c r="K476" s="5"/>
      <c r="L476" s="5"/>
      <c r="M476" s="5" t="s">
        <v>2728</v>
      </c>
      <c r="N476" s="5" t="s">
        <v>2729</v>
      </c>
      <c r="O476" s="6" t="s">
        <v>2730</v>
      </c>
    </row>
    <row r="477" customFormat="false" ht="32.8" hidden="false" customHeight="false" outlineLevel="0" collapsed="false">
      <c r="A477" s="5" t="s">
        <v>34</v>
      </c>
      <c r="B477" s="6" t="s">
        <v>2731</v>
      </c>
      <c r="C477" s="5" t="s">
        <v>2732</v>
      </c>
      <c r="D477" s="5" t="s">
        <v>453</v>
      </c>
      <c r="E477" s="5" t="s">
        <v>429</v>
      </c>
      <c r="F477" s="5" t="s">
        <v>2665</v>
      </c>
      <c r="G477" s="5" t="s">
        <v>1496</v>
      </c>
      <c r="H477" s="5"/>
      <c r="I477" s="5"/>
      <c r="J477" s="5"/>
      <c r="K477" s="5"/>
      <c r="L477" s="5"/>
      <c r="M477" s="5" t="s">
        <v>2733</v>
      </c>
      <c r="N477" s="5" t="s">
        <v>2734</v>
      </c>
      <c r="O477" s="6" t="s">
        <v>2735</v>
      </c>
    </row>
    <row r="478" customFormat="false" ht="22.35" hidden="false" customHeight="false" outlineLevel="0" collapsed="false">
      <c r="A478" s="5" t="s">
        <v>34</v>
      </c>
      <c r="B478" s="6" t="s">
        <v>2736</v>
      </c>
      <c r="C478" s="5" t="s">
        <v>2737</v>
      </c>
      <c r="D478" s="5" t="s">
        <v>437</v>
      </c>
      <c r="E478" s="5" t="s">
        <v>429</v>
      </c>
      <c r="F478" s="5" t="s">
        <v>2665</v>
      </c>
      <c r="G478" s="5" t="s">
        <v>1496</v>
      </c>
      <c r="H478" s="5"/>
      <c r="I478" s="5"/>
      <c r="J478" s="5"/>
      <c r="K478" s="5"/>
      <c r="L478" s="5"/>
      <c r="M478" s="5" t="s">
        <v>2738</v>
      </c>
      <c r="N478" s="5" t="s">
        <v>2739</v>
      </c>
      <c r="O478" s="6" t="s">
        <v>2740</v>
      </c>
    </row>
    <row r="479" customFormat="false" ht="32.8" hidden="false" customHeight="false" outlineLevel="0" collapsed="false">
      <c r="A479" s="5" t="s">
        <v>34</v>
      </c>
      <c r="B479" s="6" t="s">
        <v>2741</v>
      </c>
      <c r="C479" s="5" t="s">
        <v>2742</v>
      </c>
      <c r="D479" s="5" t="s">
        <v>509</v>
      </c>
      <c r="E479" s="5" t="s">
        <v>429</v>
      </c>
      <c r="F479" s="5" t="s">
        <v>2665</v>
      </c>
      <c r="G479" s="5" t="s">
        <v>1496</v>
      </c>
      <c r="H479" s="5"/>
      <c r="I479" s="5"/>
      <c r="J479" s="5"/>
      <c r="K479" s="5"/>
      <c r="L479" s="5"/>
      <c r="M479" s="5" t="s">
        <v>2743</v>
      </c>
      <c r="N479" s="5" t="s">
        <v>2744</v>
      </c>
      <c r="O479" s="6" t="s">
        <v>2745</v>
      </c>
    </row>
    <row r="480" customFormat="false" ht="32.8" hidden="false" customHeight="false" outlineLevel="0" collapsed="false">
      <c r="A480" s="5" t="s">
        <v>34</v>
      </c>
      <c r="B480" s="6" t="s">
        <v>2746</v>
      </c>
      <c r="C480" s="5" t="s">
        <v>2747</v>
      </c>
      <c r="D480" s="5" t="s">
        <v>509</v>
      </c>
      <c r="E480" s="5" t="s">
        <v>429</v>
      </c>
      <c r="F480" s="5" t="s">
        <v>2665</v>
      </c>
      <c r="G480" s="5" t="s">
        <v>1496</v>
      </c>
      <c r="H480" s="5"/>
      <c r="I480" s="5"/>
      <c r="J480" s="5"/>
      <c r="K480" s="5"/>
      <c r="L480" s="5"/>
      <c r="M480" s="5" t="s">
        <v>2748</v>
      </c>
      <c r="N480" s="5" t="s">
        <v>2749</v>
      </c>
      <c r="O480" s="6" t="s">
        <v>2750</v>
      </c>
    </row>
    <row r="481" customFormat="false" ht="22.35" hidden="false" customHeight="false" outlineLevel="0" collapsed="false">
      <c r="A481" s="5" t="s">
        <v>34</v>
      </c>
      <c r="B481" s="6" t="s">
        <v>2751</v>
      </c>
      <c r="C481" s="5" t="s">
        <v>2752</v>
      </c>
      <c r="D481" s="5" t="s">
        <v>437</v>
      </c>
      <c r="E481" s="5" t="s">
        <v>429</v>
      </c>
      <c r="F481" s="5" t="s">
        <v>2665</v>
      </c>
      <c r="G481" s="5" t="s">
        <v>1496</v>
      </c>
      <c r="H481" s="5"/>
      <c r="I481" s="5"/>
      <c r="J481" s="5"/>
      <c r="K481" s="5"/>
      <c r="L481" s="5"/>
      <c r="M481" s="5" t="s">
        <v>2753</v>
      </c>
      <c r="N481" s="5" t="s">
        <v>2754</v>
      </c>
      <c r="O481" s="6" t="s">
        <v>2755</v>
      </c>
    </row>
    <row r="482" customFormat="false" ht="22.35" hidden="false" customHeight="false" outlineLevel="0" collapsed="false">
      <c r="A482" s="5" t="s">
        <v>34</v>
      </c>
      <c r="B482" s="6" t="s">
        <v>2756</v>
      </c>
      <c r="C482" s="5" t="s">
        <v>2757</v>
      </c>
      <c r="D482" s="5" t="s">
        <v>437</v>
      </c>
      <c r="E482" s="5" t="s">
        <v>429</v>
      </c>
      <c r="F482" s="5" t="s">
        <v>2665</v>
      </c>
      <c r="G482" s="5" t="s">
        <v>1496</v>
      </c>
      <c r="H482" s="5"/>
      <c r="I482" s="5"/>
      <c r="J482" s="5"/>
      <c r="K482" s="5"/>
      <c r="L482" s="5"/>
      <c r="M482" s="5" t="s">
        <v>2758</v>
      </c>
      <c r="N482" s="5" t="s">
        <v>2759</v>
      </c>
      <c r="O482" s="6" t="s">
        <v>2760</v>
      </c>
    </row>
    <row r="483" customFormat="false" ht="22.35" hidden="false" customHeight="false" outlineLevel="0" collapsed="false">
      <c r="A483" s="5" t="s">
        <v>34</v>
      </c>
      <c r="B483" s="6" t="s">
        <v>2761</v>
      </c>
      <c r="C483" s="5" t="s">
        <v>2762</v>
      </c>
      <c r="D483" s="5" t="s">
        <v>437</v>
      </c>
      <c r="E483" s="5" t="s">
        <v>429</v>
      </c>
      <c r="F483" s="5" t="s">
        <v>2665</v>
      </c>
      <c r="G483" s="5" t="s">
        <v>1496</v>
      </c>
      <c r="H483" s="5"/>
      <c r="I483" s="5"/>
      <c r="J483" s="5"/>
      <c r="K483" s="5"/>
      <c r="L483" s="5"/>
      <c r="M483" s="5" t="s">
        <v>2763</v>
      </c>
      <c r="N483" s="5" t="s">
        <v>2764</v>
      </c>
      <c r="O483" s="6" t="s">
        <v>2765</v>
      </c>
    </row>
    <row r="484" customFormat="false" ht="22.35" hidden="false" customHeight="false" outlineLevel="0" collapsed="false">
      <c r="A484" s="5" t="s">
        <v>34</v>
      </c>
      <c r="B484" s="6" t="s">
        <v>2766</v>
      </c>
      <c r="C484" s="5" t="s">
        <v>2767</v>
      </c>
      <c r="D484" s="5" t="s">
        <v>437</v>
      </c>
      <c r="E484" s="5" t="s">
        <v>429</v>
      </c>
      <c r="F484" s="5" t="s">
        <v>2665</v>
      </c>
      <c r="G484" s="5" t="s">
        <v>1496</v>
      </c>
      <c r="H484" s="5"/>
      <c r="I484" s="5"/>
      <c r="J484" s="5"/>
      <c r="K484" s="5" t="s">
        <v>2768</v>
      </c>
      <c r="L484" s="5"/>
      <c r="M484" s="5" t="s">
        <v>2769</v>
      </c>
      <c r="N484" s="5" t="s">
        <v>2770</v>
      </c>
      <c r="O484" s="6" t="s">
        <v>2771</v>
      </c>
    </row>
    <row r="485" customFormat="false" ht="22.35" hidden="false" customHeight="false" outlineLevel="0" collapsed="false">
      <c r="A485" s="5" t="s">
        <v>34</v>
      </c>
      <c r="B485" s="6" t="s">
        <v>2772</v>
      </c>
      <c r="C485" s="5" t="s">
        <v>2773</v>
      </c>
      <c r="D485" s="5" t="s">
        <v>437</v>
      </c>
      <c r="E485" s="5" t="s">
        <v>429</v>
      </c>
      <c r="F485" s="5" t="s">
        <v>2665</v>
      </c>
      <c r="G485" s="5" t="s">
        <v>1496</v>
      </c>
      <c r="H485" s="5"/>
      <c r="I485" s="5"/>
      <c r="J485" s="5"/>
      <c r="K485" s="5"/>
      <c r="L485" s="5"/>
      <c r="M485" s="5" t="s">
        <v>2774</v>
      </c>
      <c r="N485" s="5" t="s">
        <v>2775</v>
      </c>
      <c r="O485" s="6" t="s">
        <v>2776</v>
      </c>
    </row>
    <row r="486" customFormat="false" ht="22.35" hidden="false" customHeight="false" outlineLevel="0" collapsed="false">
      <c r="A486" s="5" t="s">
        <v>34</v>
      </c>
      <c r="B486" s="6" t="s">
        <v>2777</v>
      </c>
      <c r="C486" s="5" t="s">
        <v>2778</v>
      </c>
      <c r="D486" s="5" t="s">
        <v>437</v>
      </c>
      <c r="E486" s="5" t="s">
        <v>429</v>
      </c>
      <c r="F486" s="5" t="s">
        <v>2665</v>
      </c>
      <c r="G486" s="5" t="s">
        <v>1496</v>
      </c>
      <c r="H486" s="5"/>
      <c r="I486" s="5"/>
      <c r="J486" s="5"/>
      <c r="K486" s="5"/>
      <c r="L486" s="5"/>
      <c r="M486" s="5" t="s">
        <v>2779</v>
      </c>
      <c r="N486" s="5" t="s">
        <v>2780</v>
      </c>
      <c r="O486" s="6" t="s">
        <v>2781</v>
      </c>
    </row>
    <row r="487" customFormat="false" ht="22.35" hidden="false" customHeight="false" outlineLevel="0" collapsed="false">
      <c r="A487" s="5" t="s">
        <v>34</v>
      </c>
      <c r="B487" s="6" t="s">
        <v>2782</v>
      </c>
      <c r="C487" s="5" t="s">
        <v>2783</v>
      </c>
      <c r="D487" s="5" t="s">
        <v>437</v>
      </c>
      <c r="E487" s="5" t="s">
        <v>429</v>
      </c>
      <c r="F487" s="5" t="s">
        <v>2665</v>
      </c>
      <c r="G487" s="5" t="s">
        <v>1496</v>
      </c>
      <c r="H487" s="5"/>
      <c r="I487" s="5"/>
      <c r="J487" s="5"/>
      <c r="K487" s="5"/>
      <c r="L487" s="5"/>
      <c r="M487" s="5" t="s">
        <v>2784</v>
      </c>
      <c r="N487" s="5" t="s">
        <v>2785</v>
      </c>
      <c r="O487" s="6" t="s">
        <v>2786</v>
      </c>
    </row>
    <row r="488" customFormat="false" ht="22.35" hidden="false" customHeight="false" outlineLevel="0" collapsed="false">
      <c r="A488" s="5" t="s">
        <v>34</v>
      </c>
      <c r="B488" s="6" t="s">
        <v>2787</v>
      </c>
      <c r="C488" s="5" t="s">
        <v>2788</v>
      </c>
      <c r="D488" s="5" t="s">
        <v>437</v>
      </c>
      <c r="E488" s="5" t="s">
        <v>510</v>
      </c>
      <c r="F488" s="5" t="s">
        <v>2789</v>
      </c>
      <c r="G488" s="5" t="s">
        <v>431</v>
      </c>
      <c r="H488" s="5"/>
      <c r="I488" s="5"/>
      <c r="J488" s="5"/>
      <c r="K488" s="5" t="s">
        <v>2790</v>
      </c>
      <c r="L488" s="5"/>
      <c r="M488" s="5" t="s">
        <v>2791</v>
      </c>
      <c r="N488" s="5" t="s">
        <v>2792</v>
      </c>
      <c r="O488" s="6" t="s">
        <v>2793</v>
      </c>
    </row>
    <row r="489" customFormat="false" ht="22.35" hidden="false" customHeight="false" outlineLevel="0" collapsed="false">
      <c r="A489" s="5" t="s">
        <v>34</v>
      </c>
      <c r="B489" s="6" t="s">
        <v>2794</v>
      </c>
      <c r="C489" s="5" t="s">
        <v>2795</v>
      </c>
      <c r="D489" s="5" t="s">
        <v>437</v>
      </c>
      <c r="E489" s="5" t="s">
        <v>510</v>
      </c>
      <c r="F489" s="5" t="s">
        <v>2789</v>
      </c>
      <c r="G489" s="5" t="s">
        <v>431</v>
      </c>
      <c r="H489" s="5"/>
      <c r="I489" s="5"/>
      <c r="J489" s="5"/>
      <c r="K489" s="5" t="s">
        <v>2796</v>
      </c>
      <c r="L489" s="5"/>
      <c r="M489" s="5" t="s">
        <v>2797</v>
      </c>
      <c r="N489" s="5" t="s">
        <v>2798</v>
      </c>
      <c r="O489" s="6" t="s">
        <v>2799</v>
      </c>
    </row>
    <row r="490" customFormat="false" ht="32.8" hidden="false" customHeight="false" outlineLevel="0" collapsed="false">
      <c r="A490" s="5" t="s">
        <v>34</v>
      </c>
      <c r="B490" s="6" t="s">
        <v>2800</v>
      </c>
      <c r="C490" s="5" t="s">
        <v>2801</v>
      </c>
      <c r="D490" s="5" t="s">
        <v>437</v>
      </c>
      <c r="E490" s="5" t="s">
        <v>510</v>
      </c>
      <c r="F490" s="5" t="s">
        <v>2789</v>
      </c>
      <c r="G490" s="5" t="s">
        <v>431</v>
      </c>
      <c r="H490" s="5"/>
      <c r="I490" s="5"/>
      <c r="J490" s="5"/>
      <c r="K490" s="5" t="s">
        <v>2802</v>
      </c>
      <c r="L490" s="5"/>
      <c r="M490" s="5" t="s">
        <v>2803</v>
      </c>
      <c r="N490" s="5" t="s">
        <v>2804</v>
      </c>
      <c r="O490" s="6" t="s">
        <v>2805</v>
      </c>
    </row>
    <row r="491" customFormat="false" ht="35.05" hidden="false" customHeight="false" outlineLevel="0" collapsed="false">
      <c r="A491" s="5" t="s">
        <v>34</v>
      </c>
      <c r="B491" s="6" t="s">
        <v>2806</v>
      </c>
      <c r="C491" s="5" t="s">
        <v>2807</v>
      </c>
      <c r="D491" s="5" t="s">
        <v>566</v>
      </c>
      <c r="E491" s="5" t="s">
        <v>510</v>
      </c>
      <c r="F491" s="5" t="s">
        <v>2789</v>
      </c>
      <c r="G491" s="5" t="s">
        <v>431</v>
      </c>
      <c r="H491" s="5"/>
      <c r="I491" s="5"/>
      <c r="J491" s="5"/>
      <c r="K491" s="5" t="s">
        <v>2808</v>
      </c>
      <c r="L491" s="5" t="s">
        <v>2809</v>
      </c>
      <c r="M491" s="5" t="s">
        <v>2810</v>
      </c>
      <c r="N491" s="5" t="s">
        <v>2811</v>
      </c>
      <c r="O491" s="6" t="s">
        <v>2812</v>
      </c>
    </row>
    <row r="492" customFormat="false" ht="23.85" hidden="false" customHeight="false" outlineLevel="0" collapsed="false">
      <c r="A492" s="9" t="s">
        <v>34</v>
      </c>
      <c r="B492" s="10" t="s">
        <v>2813</v>
      </c>
      <c r="C492" s="9" t="s">
        <v>2814</v>
      </c>
      <c r="D492" s="9" t="s">
        <v>509</v>
      </c>
      <c r="E492" s="9" t="s">
        <v>510</v>
      </c>
      <c r="F492" s="9" t="s">
        <v>2815</v>
      </c>
      <c r="G492" s="9" t="s">
        <v>2816</v>
      </c>
      <c r="H492" s="9" t="s">
        <v>2817</v>
      </c>
      <c r="I492" s="9" t="s">
        <v>2818</v>
      </c>
      <c r="J492" s="9" t="s">
        <v>2819</v>
      </c>
      <c r="K492" s="9" t="s">
        <v>2820</v>
      </c>
      <c r="L492" s="9"/>
      <c r="M492" s="9" t="s">
        <v>2821</v>
      </c>
      <c r="N492" s="9" t="s">
        <v>2822</v>
      </c>
      <c r="O492" s="10" t="s">
        <v>2823</v>
      </c>
    </row>
    <row r="493" customFormat="false" ht="23.85" hidden="false" customHeight="false" outlineLevel="0" collapsed="false">
      <c r="A493" s="5" t="s">
        <v>34</v>
      </c>
      <c r="B493" s="6" t="s">
        <v>2824</v>
      </c>
      <c r="C493" s="5" t="s">
        <v>2825</v>
      </c>
      <c r="D493" s="5" t="s">
        <v>509</v>
      </c>
      <c r="E493" s="5" t="s">
        <v>429</v>
      </c>
      <c r="F493" s="5" t="s">
        <v>2815</v>
      </c>
      <c r="G493" s="5" t="s">
        <v>2816</v>
      </c>
      <c r="H493" s="5" t="s">
        <v>2826</v>
      </c>
      <c r="I493" s="5" t="s">
        <v>2827</v>
      </c>
      <c r="J493" s="5"/>
      <c r="K493" s="5"/>
      <c r="L493" s="5"/>
      <c r="M493" s="5" t="s">
        <v>2828</v>
      </c>
      <c r="N493" s="5" t="s">
        <v>2829</v>
      </c>
      <c r="O493" s="6" t="s">
        <v>2830</v>
      </c>
    </row>
    <row r="494" customFormat="false" ht="23.85" hidden="false" customHeight="false" outlineLevel="0" collapsed="false">
      <c r="A494" s="5" t="s">
        <v>34</v>
      </c>
      <c r="B494" s="6" t="s">
        <v>2831</v>
      </c>
      <c r="C494" s="5" t="s">
        <v>2832</v>
      </c>
      <c r="D494" s="5" t="s">
        <v>509</v>
      </c>
      <c r="E494" s="5" t="s">
        <v>429</v>
      </c>
      <c r="F494" s="5" t="s">
        <v>2815</v>
      </c>
      <c r="G494" s="5" t="s">
        <v>2816</v>
      </c>
      <c r="H494" s="5" t="s">
        <v>2826</v>
      </c>
      <c r="I494" s="5" t="s">
        <v>2833</v>
      </c>
      <c r="J494" s="5"/>
      <c r="K494" s="5"/>
      <c r="L494" s="5"/>
      <c r="M494" s="5" t="s">
        <v>2834</v>
      </c>
      <c r="N494" s="5" t="s">
        <v>2835</v>
      </c>
      <c r="O494" s="6" t="s">
        <v>2836</v>
      </c>
    </row>
    <row r="495" customFormat="false" ht="23.85" hidden="false" customHeight="false" outlineLevel="0" collapsed="false">
      <c r="A495" s="5" t="s">
        <v>34</v>
      </c>
      <c r="B495" s="6" t="s">
        <v>2837</v>
      </c>
      <c r="C495" s="5" t="s">
        <v>2838</v>
      </c>
      <c r="D495" s="5" t="s">
        <v>509</v>
      </c>
      <c r="E495" s="5" t="s">
        <v>429</v>
      </c>
      <c r="F495" s="5" t="s">
        <v>2815</v>
      </c>
      <c r="G495" s="5" t="s">
        <v>2816</v>
      </c>
      <c r="H495" s="5" t="s">
        <v>2826</v>
      </c>
      <c r="I495" s="5" t="s">
        <v>2839</v>
      </c>
      <c r="J495" s="5"/>
      <c r="K495" s="5"/>
      <c r="L495" s="5"/>
      <c r="M495" s="5" t="s">
        <v>2840</v>
      </c>
      <c r="N495" s="5" t="s">
        <v>2841</v>
      </c>
      <c r="O495" s="6" t="s">
        <v>2842</v>
      </c>
    </row>
    <row r="496" customFormat="false" ht="23.85" hidden="false" customHeight="false" outlineLevel="0" collapsed="false">
      <c r="A496" s="5" t="s">
        <v>34</v>
      </c>
      <c r="B496" s="6" t="s">
        <v>2843</v>
      </c>
      <c r="C496" s="5" t="s">
        <v>2844</v>
      </c>
      <c r="D496" s="5" t="s">
        <v>509</v>
      </c>
      <c r="E496" s="5" t="s">
        <v>510</v>
      </c>
      <c r="F496" s="5" t="s">
        <v>2815</v>
      </c>
      <c r="G496" s="5" t="s">
        <v>2816</v>
      </c>
      <c r="H496" s="5" t="s">
        <v>2826</v>
      </c>
      <c r="I496" s="5" t="s">
        <v>2845</v>
      </c>
      <c r="J496" s="5"/>
      <c r="K496" s="5"/>
      <c r="L496" s="5"/>
      <c r="M496" s="5" t="s">
        <v>2846</v>
      </c>
      <c r="N496" s="5" t="s">
        <v>2847</v>
      </c>
      <c r="O496" s="6" t="s">
        <v>2848</v>
      </c>
    </row>
    <row r="497" customFormat="false" ht="23.85" hidden="false" customHeight="false" outlineLevel="0" collapsed="false">
      <c r="A497" s="5" t="s">
        <v>34</v>
      </c>
      <c r="B497" s="6" t="s">
        <v>2849</v>
      </c>
      <c r="C497" s="5" t="s">
        <v>2850</v>
      </c>
      <c r="D497" s="5" t="s">
        <v>509</v>
      </c>
      <c r="E497" s="5" t="s">
        <v>510</v>
      </c>
      <c r="F497" s="5" t="s">
        <v>2815</v>
      </c>
      <c r="G497" s="5" t="s">
        <v>2816</v>
      </c>
      <c r="H497" s="5" t="s">
        <v>2826</v>
      </c>
      <c r="I497" s="5" t="s">
        <v>2851</v>
      </c>
      <c r="J497" s="5"/>
      <c r="K497" s="5"/>
      <c r="L497" s="5"/>
      <c r="M497" s="5" t="s">
        <v>2852</v>
      </c>
      <c r="N497" s="5" t="s">
        <v>2853</v>
      </c>
      <c r="O497" s="6" t="s">
        <v>2854</v>
      </c>
    </row>
    <row r="498" customFormat="false" ht="23.85" hidden="false" customHeight="false" outlineLevel="0" collapsed="false">
      <c r="A498" s="5" t="s">
        <v>34</v>
      </c>
      <c r="B498" s="6" t="s">
        <v>2855</v>
      </c>
      <c r="C498" s="5" t="s">
        <v>2856</v>
      </c>
      <c r="D498" s="5" t="s">
        <v>509</v>
      </c>
      <c r="E498" s="5" t="s">
        <v>510</v>
      </c>
      <c r="F498" s="5" t="s">
        <v>2815</v>
      </c>
      <c r="G498" s="5" t="s">
        <v>2816</v>
      </c>
      <c r="H498" s="5" t="s">
        <v>2826</v>
      </c>
      <c r="I498" s="5" t="s">
        <v>2857</v>
      </c>
      <c r="J498" s="5"/>
      <c r="K498" s="5"/>
      <c r="L498" s="5"/>
      <c r="M498" s="5" t="s">
        <v>2858</v>
      </c>
      <c r="N498" s="5" t="s">
        <v>2859</v>
      </c>
      <c r="O498" s="6" t="s">
        <v>2860</v>
      </c>
    </row>
    <row r="499" customFormat="false" ht="23.85" hidden="false" customHeight="false" outlineLevel="0" collapsed="false">
      <c r="A499" s="5" t="s">
        <v>34</v>
      </c>
      <c r="B499" s="6" t="s">
        <v>2861</v>
      </c>
      <c r="C499" s="5" t="s">
        <v>2862</v>
      </c>
      <c r="D499" s="5" t="s">
        <v>509</v>
      </c>
      <c r="E499" s="5" t="s">
        <v>510</v>
      </c>
      <c r="F499" s="5" t="s">
        <v>2815</v>
      </c>
      <c r="G499" s="5" t="s">
        <v>2816</v>
      </c>
      <c r="H499" s="5" t="s">
        <v>2826</v>
      </c>
      <c r="I499" s="5" t="s">
        <v>2818</v>
      </c>
      <c r="J499" s="5"/>
      <c r="K499" s="5"/>
      <c r="L499" s="5"/>
      <c r="M499" s="5" t="s">
        <v>2863</v>
      </c>
      <c r="N499" s="5" t="s">
        <v>2864</v>
      </c>
      <c r="O499" s="6" t="s">
        <v>2865</v>
      </c>
    </row>
    <row r="500" customFormat="false" ht="23.85" hidden="false" customHeight="false" outlineLevel="0" collapsed="false">
      <c r="A500" s="5" t="s">
        <v>34</v>
      </c>
      <c r="B500" s="6" t="s">
        <v>2866</v>
      </c>
      <c r="C500" s="5" t="s">
        <v>2867</v>
      </c>
      <c r="D500" s="5" t="s">
        <v>509</v>
      </c>
      <c r="E500" s="5" t="s">
        <v>510</v>
      </c>
      <c r="F500" s="5" t="s">
        <v>2815</v>
      </c>
      <c r="G500" s="5" t="s">
        <v>2816</v>
      </c>
      <c r="H500" s="5" t="s">
        <v>2826</v>
      </c>
      <c r="I500" s="5" t="s">
        <v>2868</v>
      </c>
      <c r="J500" s="5"/>
      <c r="K500" s="5"/>
      <c r="L500" s="5"/>
      <c r="M500" s="5" t="s">
        <v>2869</v>
      </c>
      <c r="N500" s="5" t="s">
        <v>2870</v>
      </c>
      <c r="O500" s="6" t="s">
        <v>2871</v>
      </c>
    </row>
    <row r="501" customFormat="false" ht="23.85" hidden="false" customHeight="false" outlineLevel="0" collapsed="false">
      <c r="A501" s="9" t="s">
        <v>34</v>
      </c>
      <c r="B501" s="10" t="s">
        <v>2872</v>
      </c>
      <c r="C501" s="9" t="s">
        <v>2873</v>
      </c>
      <c r="D501" s="9" t="s">
        <v>509</v>
      </c>
      <c r="E501" s="9" t="s">
        <v>510</v>
      </c>
      <c r="F501" s="9" t="s">
        <v>2815</v>
      </c>
      <c r="G501" s="9" t="s">
        <v>2816</v>
      </c>
      <c r="H501" s="9" t="s">
        <v>2874</v>
      </c>
      <c r="I501" s="9" t="s">
        <v>2875</v>
      </c>
      <c r="J501" s="9" t="s">
        <v>2876</v>
      </c>
      <c r="K501" s="9"/>
      <c r="L501" s="9"/>
      <c r="M501" s="9" t="s">
        <v>2877</v>
      </c>
      <c r="N501" s="9" t="s">
        <v>2878</v>
      </c>
      <c r="O501" s="10" t="s">
        <v>2879</v>
      </c>
    </row>
    <row r="502" customFormat="false" ht="23.85" hidden="false" customHeight="false" outlineLevel="0" collapsed="false">
      <c r="A502" s="9" t="s">
        <v>34</v>
      </c>
      <c r="B502" s="10" t="s">
        <v>2880</v>
      </c>
      <c r="C502" s="9" t="s">
        <v>2881</v>
      </c>
      <c r="D502" s="9" t="s">
        <v>509</v>
      </c>
      <c r="E502" s="9" t="s">
        <v>510</v>
      </c>
      <c r="F502" s="9" t="s">
        <v>2815</v>
      </c>
      <c r="G502" s="9" t="s">
        <v>2816</v>
      </c>
      <c r="H502" s="9" t="s">
        <v>2882</v>
      </c>
      <c r="I502" s="9" t="s">
        <v>2875</v>
      </c>
      <c r="J502" s="9" t="s">
        <v>2883</v>
      </c>
      <c r="K502" s="9"/>
      <c r="L502" s="9"/>
      <c r="M502" s="9" t="s">
        <v>2884</v>
      </c>
      <c r="N502" s="9" t="s">
        <v>2885</v>
      </c>
      <c r="O502" s="10" t="s">
        <v>2886</v>
      </c>
    </row>
    <row r="503" customFormat="false" ht="23.85" hidden="false" customHeight="false" outlineLevel="0" collapsed="false">
      <c r="A503" s="9" t="s">
        <v>34</v>
      </c>
      <c r="B503" s="10" t="s">
        <v>2887</v>
      </c>
      <c r="C503" s="9" t="s">
        <v>2888</v>
      </c>
      <c r="D503" s="9" t="s">
        <v>509</v>
      </c>
      <c r="E503" s="9" t="s">
        <v>429</v>
      </c>
      <c r="F503" s="9" t="s">
        <v>2815</v>
      </c>
      <c r="G503" s="9" t="s">
        <v>2816</v>
      </c>
      <c r="H503" s="9" t="s">
        <v>2889</v>
      </c>
      <c r="I503" s="9" t="s">
        <v>2875</v>
      </c>
      <c r="J503" s="9" t="s">
        <v>2883</v>
      </c>
      <c r="K503" s="9"/>
      <c r="L503" s="9"/>
      <c r="M503" s="9" t="s">
        <v>2890</v>
      </c>
      <c r="N503" s="9" t="s">
        <v>2891</v>
      </c>
      <c r="O503" s="10" t="s">
        <v>2892</v>
      </c>
    </row>
    <row r="504" customFormat="false" ht="23.85" hidden="false" customHeight="false" outlineLevel="0" collapsed="false">
      <c r="A504" s="9" t="s">
        <v>34</v>
      </c>
      <c r="B504" s="10" t="s">
        <v>2893</v>
      </c>
      <c r="C504" s="9" t="s">
        <v>2894</v>
      </c>
      <c r="D504" s="9" t="s">
        <v>509</v>
      </c>
      <c r="E504" s="9" t="s">
        <v>510</v>
      </c>
      <c r="F504" s="9" t="s">
        <v>2815</v>
      </c>
      <c r="G504" s="9" t="s">
        <v>2816</v>
      </c>
      <c r="H504" s="9" t="s">
        <v>2826</v>
      </c>
      <c r="I504" s="9" t="s">
        <v>2875</v>
      </c>
      <c r="J504" s="9" t="s">
        <v>2895</v>
      </c>
      <c r="K504" s="9"/>
      <c r="L504" s="9"/>
      <c r="M504" s="9" t="s">
        <v>2896</v>
      </c>
      <c r="N504" s="9" t="s">
        <v>2897</v>
      </c>
      <c r="O504" s="10" t="s">
        <v>2898</v>
      </c>
    </row>
    <row r="505" customFormat="false" ht="23.85" hidden="false" customHeight="false" outlineLevel="0" collapsed="false">
      <c r="A505" s="9" t="s">
        <v>34</v>
      </c>
      <c r="B505" s="10" t="s">
        <v>2899</v>
      </c>
      <c r="C505" s="9" t="s">
        <v>2900</v>
      </c>
      <c r="D505" s="9" t="s">
        <v>509</v>
      </c>
      <c r="E505" s="9" t="s">
        <v>510</v>
      </c>
      <c r="F505" s="9" t="s">
        <v>2815</v>
      </c>
      <c r="G505" s="9" t="s">
        <v>2816</v>
      </c>
      <c r="H505" s="9" t="s">
        <v>2901</v>
      </c>
      <c r="I505" s="9" t="s">
        <v>2875</v>
      </c>
      <c r="J505" s="9" t="s">
        <v>2876</v>
      </c>
      <c r="K505" s="9"/>
      <c r="L505" s="9"/>
      <c r="M505" s="9" t="s">
        <v>2902</v>
      </c>
      <c r="N505" s="9" t="s">
        <v>2903</v>
      </c>
      <c r="O505" s="10" t="s">
        <v>2904</v>
      </c>
    </row>
    <row r="506" customFormat="false" ht="23.85" hidden="false" customHeight="false" outlineLevel="0" collapsed="false">
      <c r="A506" s="9" t="s">
        <v>34</v>
      </c>
      <c r="B506" s="10" t="s">
        <v>2905</v>
      </c>
      <c r="C506" s="9" t="s">
        <v>2906</v>
      </c>
      <c r="D506" s="9" t="s">
        <v>509</v>
      </c>
      <c r="E506" s="9" t="s">
        <v>510</v>
      </c>
      <c r="F506" s="9" t="s">
        <v>2815</v>
      </c>
      <c r="G506" s="9" t="s">
        <v>2816</v>
      </c>
      <c r="H506" s="9" t="s">
        <v>2907</v>
      </c>
      <c r="I506" s="9" t="s">
        <v>2875</v>
      </c>
      <c r="J506" s="9" t="s">
        <v>2895</v>
      </c>
      <c r="K506" s="9"/>
      <c r="L506" s="9"/>
      <c r="M506" s="9" t="s">
        <v>2908</v>
      </c>
      <c r="N506" s="9" t="s">
        <v>2909</v>
      </c>
      <c r="O506" s="10" t="s">
        <v>2910</v>
      </c>
    </row>
    <row r="507" customFormat="false" ht="23.85" hidden="false" customHeight="false" outlineLevel="0" collapsed="false">
      <c r="A507" s="9" t="s">
        <v>34</v>
      </c>
      <c r="B507" s="10" t="s">
        <v>2911</v>
      </c>
      <c r="C507" s="9" t="s">
        <v>2912</v>
      </c>
      <c r="D507" s="9" t="s">
        <v>509</v>
      </c>
      <c r="E507" s="9" t="s">
        <v>510</v>
      </c>
      <c r="F507" s="9" t="s">
        <v>2815</v>
      </c>
      <c r="G507" s="9" t="s">
        <v>2816</v>
      </c>
      <c r="H507" s="9" t="s">
        <v>2913</v>
      </c>
      <c r="I507" s="9" t="s">
        <v>2875</v>
      </c>
      <c r="J507" s="9" t="s">
        <v>2895</v>
      </c>
      <c r="K507" s="9"/>
      <c r="L507" s="9"/>
      <c r="M507" s="9" t="s">
        <v>2914</v>
      </c>
      <c r="N507" s="9" t="s">
        <v>2915</v>
      </c>
      <c r="O507" s="10" t="s">
        <v>2916</v>
      </c>
    </row>
    <row r="508" customFormat="false" ht="23.85" hidden="false" customHeight="false" outlineLevel="0" collapsed="false">
      <c r="A508" s="5" t="s">
        <v>34</v>
      </c>
      <c r="B508" s="6" t="s">
        <v>2917</v>
      </c>
      <c r="C508" s="5" t="s">
        <v>2918</v>
      </c>
      <c r="D508" s="5" t="s">
        <v>509</v>
      </c>
      <c r="E508" s="5" t="s">
        <v>429</v>
      </c>
      <c r="F508" s="5" t="s">
        <v>2815</v>
      </c>
      <c r="G508" s="5" t="s">
        <v>2816</v>
      </c>
      <c r="H508" s="5" t="s">
        <v>2913</v>
      </c>
      <c r="I508" s="5" t="s">
        <v>2833</v>
      </c>
      <c r="J508" s="5"/>
      <c r="K508" s="5"/>
      <c r="L508" s="5"/>
      <c r="M508" s="5" t="s">
        <v>2919</v>
      </c>
      <c r="N508" s="5" t="s">
        <v>2920</v>
      </c>
      <c r="O508" s="6" t="s">
        <v>2921</v>
      </c>
    </row>
    <row r="509" customFormat="false" ht="23.85" hidden="false" customHeight="false" outlineLevel="0" collapsed="false">
      <c r="A509" s="5" t="s">
        <v>34</v>
      </c>
      <c r="B509" s="6" t="s">
        <v>2922</v>
      </c>
      <c r="C509" s="5" t="s">
        <v>2923</v>
      </c>
      <c r="D509" s="5" t="s">
        <v>509</v>
      </c>
      <c r="E509" s="5" t="s">
        <v>429</v>
      </c>
      <c r="F509" s="5" t="s">
        <v>2815</v>
      </c>
      <c r="G509" s="5" t="s">
        <v>2816</v>
      </c>
      <c r="H509" s="5" t="s">
        <v>2913</v>
      </c>
      <c r="I509" s="5" t="s">
        <v>2839</v>
      </c>
      <c r="J509" s="5"/>
      <c r="K509" s="5"/>
      <c r="L509" s="5"/>
      <c r="M509" s="5" t="s">
        <v>2924</v>
      </c>
      <c r="N509" s="5" t="s">
        <v>2925</v>
      </c>
      <c r="O509" s="6" t="s">
        <v>2926</v>
      </c>
    </row>
    <row r="510" customFormat="false" ht="23.85" hidden="false" customHeight="false" outlineLevel="0" collapsed="false">
      <c r="A510" s="5" t="s">
        <v>34</v>
      </c>
      <c r="B510" s="6" t="s">
        <v>2927</v>
      </c>
      <c r="C510" s="5" t="s">
        <v>2928</v>
      </c>
      <c r="D510" s="5" t="s">
        <v>509</v>
      </c>
      <c r="E510" s="5" t="s">
        <v>510</v>
      </c>
      <c r="F510" s="5" t="s">
        <v>2815</v>
      </c>
      <c r="G510" s="5" t="s">
        <v>2816</v>
      </c>
      <c r="H510" s="5" t="s">
        <v>2913</v>
      </c>
      <c r="I510" s="5" t="s">
        <v>2845</v>
      </c>
      <c r="J510" s="5"/>
      <c r="K510" s="5"/>
      <c r="L510" s="5"/>
      <c r="M510" s="5" t="s">
        <v>2929</v>
      </c>
      <c r="N510" s="5" t="s">
        <v>2930</v>
      </c>
      <c r="O510" s="6" t="s">
        <v>2931</v>
      </c>
    </row>
    <row r="511" customFormat="false" ht="23.85" hidden="false" customHeight="false" outlineLevel="0" collapsed="false">
      <c r="A511" s="5" t="s">
        <v>34</v>
      </c>
      <c r="B511" s="6" t="s">
        <v>2932</v>
      </c>
      <c r="C511" s="5" t="s">
        <v>2933</v>
      </c>
      <c r="D511" s="5" t="s">
        <v>509</v>
      </c>
      <c r="E511" s="5" t="s">
        <v>510</v>
      </c>
      <c r="F511" s="5" t="s">
        <v>2815</v>
      </c>
      <c r="G511" s="5" t="s">
        <v>2816</v>
      </c>
      <c r="H511" s="5" t="s">
        <v>2913</v>
      </c>
      <c r="I511" s="5" t="s">
        <v>2851</v>
      </c>
      <c r="J511" s="5"/>
      <c r="K511" s="5"/>
      <c r="L511" s="5"/>
      <c r="M511" s="5" t="s">
        <v>2934</v>
      </c>
      <c r="N511" s="5" t="s">
        <v>2935</v>
      </c>
      <c r="O511" s="6" t="s">
        <v>2936</v>
      </c>
    </row>
    <row r="512" customFormat="false" ht="23.85" hidden="false" customHeight="false" outlineLevel="0" collapsed="false">
      <c r="A512" s="9" t="s">
        <v>34</v>
      </c>
      <c r="B512" s="10" t="s">
        <v>2937</v>
      </c>
      <c r="C512" s="9" t="s">
        <v>2938</v>
      </c>
      <c r="D512" s="9" t="s">
        <v>509</v>
      </c>
      <c r="E512" s="9" t="s">
        <v>510</v>
      </c>
      <c r="F512" s="9" t="s">
        <v>2815</v>
      </c>
      <c r="G512" s="9" t="s">
        <v>2816</v>
      </c>
      <c r="H512" s="9" t="s">
        <v>2913</v>
      </c>
      <c r="I512" s="9" t="s">
        <v>2818</v>
      </c>
      <c r="J512" s="9" t="s">
        <v>2939</v>
      </c>
      <c r="K512" s="9"/>
      <c r="L512" s="9"/>
      <c r="M512" s="9" t="s">
        <v>2940</v>
      </c>
      <c r="N512" s="9" t="s">
        <v>2941</v>
      </c>
      <c r="O512" s="10" t="s">
        <v>2942</v>
      </c>
    </row>
    <row r="513" customFormat="false" ht="23.85" hidden="false" customHeight="false" outlineLevel="0" collapsed="false">
      <c r="A513" s="9" t="s">
        <v>34</v>
      </c>
      <c r="B513" s="10" t="s">
        <v>2943</v>
      </c>
      <c r="C513" s="9" t="s">
        <v>2944</v>
      </c>
      <c r="D513" s="9" t="s">
        <v>509</v>
      </c>
      <c r="E513" s="9" t="s">
        <v>429</v>
      </c>
      <c r="F513" s="9" t="s">
        <v>2815</v>
      </c>
      <c r="G513" s="9" t="s">
        <v>2816</v>
      </c>
      <c r="H513" s="9" t="s">
        <v>2889</v>
      </c>
      <c r="I513" s="9" t="s">
        <v>2839</v>
      </c>
      <c r="J513" s="9" t="s">
        <v>2945</v>
      </c>
      <c r="K513" s="9"/>
      <c r="L513" s="9"/>
      <c r="M513" s="9" t="s">
        <v>2946</v>
      </c>
      <c r="N513" s="9" t="s">
        <v>2947</v>
      </c>
      <c r="O513" s="10" t="s">
        <v>2948</v>
      </c>
    </row>
    <row r="514" customFormat="false" ht="23.85" hidden="false" customHeight="false" outlineLevel="0" collapsed="false">
      <c r="A514" s="9" t="s">
        <v>34</v>
      </c>
      <c r="B514" s="10" t="s">
        <v>2949</v>
      </c>
      <c r="C514" s="9" t="s">
        <v>2950</v>
      </c>
      <c r="D514" s="9" t="s">
        <v>509</v>
      </c>
      <c r="E514" s="9" t="s">
        <v>429</v>
      </c>
      <c r="F514" s="9" t="s">
        <v>2815</v>
      </c>
      <c r="G514" s="9" t="s">
        <v>2816</v>
      </c>
      <c r="H514" s="9" t="s">
        <v>2889</v>
      </c>
      <c r="I514" s="9" t="s">
        <v>2845</v>
      </c>
      <c r="J514" s="9" t="s">
        <v>2951</v>
      </c>
      <c r="K514" s="9"/>
      <c r="L514" s="9"/>
      <c r="M514" s="9" t="s">
        <v>2952</v>
      </c>
      <c r="N514" s="9" t="s">
        <v>2953</v>
      </c>
      <c r="O514" s="10" t="s">
        <v>2954</v>
      </c>
    </row>
    <row r="515" customFormat="false" ht="23.85" hidden="false" customHeight="false" outlineLevel="0" collapsed="false">
      <c r="A515" s="9" t="s">
        <v>34</v>
      </c>
      <c r="B515" s="10" t="s">
        <v>2955</v>
      </c>
      <c r="C515" s="9" t="s">
        <v>2956</v>
      </c>
      <c r="D515" s="9" t="s">
        <v>509</v>
      </c>
      <c r="E515" s="9" t="s">
        <v>429</v>
      </c>
      <c r="F515" s="9" t="s">
        <v>2815</v>
      </c>
      <c r="G515" s="9" t="s">
        <v>2816</v>
      </c>
      <c r="H515" s="9" t="s">
        <v>2889</v>
      </c>
      <c r="I515" s="9" t="s">
        <v>2857</v>
      </c>
      <c r="J515" s="9" t="s">
        <v>2957</v>
      </c>
      <c r="K515" s="9"/>
      <c r="L515" s="9"/>
      <c r="M515" s="9" t="s">
        <v>2958</v>
      </c>
      <c r="N515" s="9" t="s">
        <v>2959</v>
      </c>
      <c r="O515" s="10" t="s">
        <v>2960</v>
      </c>
    </row>
    <row r="516" customFormat="false" ht="23.85" hidden="false" customHeight="false" outlineLevel="0" collapsed="false">
      <c r="A516" s="9" t="s">
        <v>34</v>
      </c>
      <c r="B516" s="10" t="s">
        <v>2961</v>
      </c>
      <c r="C516" s="9" t="s">
        <v>2962</v>
      </c>
      <c r="D516" s="9" t="s">
        <v>509</v>
      </c>
      <c r="E516" s="9" t="s">
        <v>429</v>
      </c>
      <c r="F516" s="9" t="s">
        <v>2815</v>
      </c>
      <c r="G516" s="9" t="s">
        <v>2816</v>
      </c>
      <c r="H516" s="9" t="s">
        <v>2889</v>
      </c>
      <c r="I516" s="9" t="s">
        <v>2851</v>
      </c>
      <c r="J516" s="9" t="s">
        <v>2963</v>
      </c>
      <c r="K516" s="9"/>
      <c r="L516" s="9"/>
      <c r="M516" s="9" t="s">
        <v>2964</v>
      </c>
      <c r="N516" s="9" t="s">
        <v>2965</v>
      </c>
      <c r="O516" s="10" t="s">
        <v>2966</v>
      </c>
    </row>
    <row r="517" customFormat="false" ht="23.85" hidden="false" customHeight="false" outlineLevel="0" collapsed="false">
      <c r="A517" s="9" t="s">
        <v>34</v>
      </c>
      <c r="B517" s="10" t="s">
        <v>2967</v>
      </c>
      <c r="C517" s="9" t="s">
        <v>2968</v>
      </c>
      <c r="D517" s="9" t="s">
        <v>509</v>
      </c>
      <c r="E517" s="9" t="s">
        <v>429</v>
      </c>
      <c r="F517" s="9" t="s">
        <v>2815</v>
      </c>
      <c r="G517" s="9" t="s">
        <v>2816</v>
      </c>
      <c r="H517" s="9" t="s">
        <v>2889</v>
      </c>
      <c r="I517" s="9" t="s">
        <v>2818</v>
      </c>
      <c r="J517" s="9" t="s">
        <v>2969</v>
      </c>
      <c r="K517" s="9"/>
      <c r="L517" s="9"/>
      <c r="M517" s="9" t="s">
        <v>2970</v>
      </c>
      <c r="N517" s="9" t="s">
        <v>2971</v>
      </c>
      <c r="O517" s="10" t="s">
        <v>2972</v>
      </c>
    </row>
    <row r="518" customFormat="false" ht="23.85" hidden="false" customHeight="false" outlineLevel="0" collapsed="false">
      <c r="A518" s="9" t="s">
        <v>34</v>
      </c>
      <c r="B518" s="10" t="s">
        <v>2973</v>
      </c>
      <c r="C518" s="9" t="s">
        <v>2974</v>
      </c>
      <c r="D518" s="9" t="s">
        <v>509</v>
      </c>
      <c r="E518" s="9" t="s">
        <v>510</v>
      </c>
      <c r="F518" s="9" t="s">
        <v>2815</v>
      </c>
      <c r="G518" s="9" t="s">
        <v>2816</v>
      </c>
      <c r="H518" s="9" t="s">
        <v>2907</v>
      </c>
      <c r="I518" s="9" t="s">
        <v>2818</v>
      </c>
      <c r="J518" s="9" t="s">
        <v>2939</v>
      </c>
      <c r="K518" s="9"/>
      <c r="L518" s="9"/>
      <c r="M518" s="9" t="s">
        <v>2975</v>
      </c>
      <c r="N518" s="9" t="s">
        <v>2976</v>
      </c>
      <c r="O518" s="10" t="s">
        <v>2977</v>
      </c>
    </row>
    <row r="519" customFormat="false" ht="22.35" hidden="false" customHeight="false" outlineLevel="0" collapsed="false">
      <c r="A519" s="5" t="s">
        <v>34</v>
      </c>
      <c r="B519" s="6" t="s">
        <v>2978</v>
      </c>
      <c r="C519" s="5" t="s">
        <v>2979</v>
      </c>
      <c r="D519" s="5" t="s">
        <v>509</v>
      </c>
      <c r="E519" s="5" t="s">
        <v>429</v>
      </c>
      <c r="F519" s="5" t="s">
        <v>2815</v>
      </c>
      <c r="G519" s="5" t="s">
        <v>2816</v>
      </c>
      <c r="H519" s="5" t="s">
        <v>2907</v>
      </c>
      <c r="I519" s="5" t="s">
        <v>2827</v>
      </c>
      <c r="J519" s="5"/>
      <c r="K519" s="5"/>
      <c r="L519" s="5"/>
      <c r="M519" s="5" t="s">
        <v>2980</v>
      </c>
      <c r="N519" s="5" t="s">
        <v>2981</v>
      </c>
      <c r="O519" s="6" t="s">
        <v>2982</v>
      </c>
    </row>
    <row r="520" customFormat="false" ht="22.35" hidden="false" customHeight="false" outlineLevel="0" collapsed="false">
      <c r="A520" s="5" t="s">
        <v>34</v>
      </c>
      <c r="B520" s="6" t="s">
        <v>2983</v>
      </c>
      <c r="C520" s="5" t="s">
        <v>2984</v>
      </c>
      <c r="D520" s="5" t="s">
        <v>509</v>
      </c>
      <c r="E520" s="5" t="s">
        <v>429</v>
      </c>
      <c r="F520" s="5" t="s">
        <v>2815</v>
      </c>
      <c r="G520" s="5" t="s">
        <v>2816</v>
      </c>
      <c r="H520" s="5" t="s">
        <v>2907</v>
      </c>
      <c r="I520" s="5" t="s">
        <v>2833</v>
      </c>
      <c r="J520" s="5"/>
      <c r="K520" s="5"/>
      <c r="L520" s="5"/>
      <c r="M520" s="5" t="s">
        <v>2985</v>
      </c>
      <c r="N520" s="5" t="s">
        <v>2986</v>
      </c>
      <c r="O520" s="6" t="s">
        <v>2987</v>
      </c>
    </row>
    <row r="521" customFormat="false" ht="22.35" hidden="false" customHeight="false" outlineLevel="0" collapsed="false">
      <c r="A521" s="5" t="s">
        <v>34</v>
      </c>
      <c r="B521" s="6" t="s">
        <v>2988</v>
      </c>
      <c r="C521" s="5" t="s">
        <v>2989</v>
      </c>
      <c r="D521" s="5" t="s">
        <v>509</v>
      </c>
      <c r="E521" s="5" t="s">
        <v>429</v>
      </c>
      <c r="F521" s="5" t="s">
        <v>2815</v>
      </c>
      <c r="G521" s="5" t="s">
        <v>2816</v>
      </c>
      <c r="H521" s="5" t="s">
        <v>2907</v>
      </c>
      <c r="I521" s="5" t="s">
        <v>2839</v>
      </c>
      <c r="J521" s="5"/>
      <c r="K521" s="5"/>
      <c r="L521" s="5"/>
      <c r="M521" s="5" t="s">
        <v>2990</v>
      </c>
      <c r="N521" s="5" t="s">
        <v>2991</v>
      </c>
      <c r="O521" s="6" t="s">
        <v>2992</v>
      </c>
    </row>
    <row r="522" customFormat="false" ht="22.35" hidden="false" customHeight="false" outlineLevel="0" collapsed="false">
      <c r="A522" s="5" t="s">
        <v>34</v>
      </c>
      <c r="B522" s="6" t="s">
        <v>2993</v>
      </c>
      <c r="C522" s="5" t="s">
        <v>2994</v>
      </c>
      <c r="D522" s="5" t="s">
        <v>509</v>
      </c>
      <c r="E522" s="5" t="s">
        <v>510</v>
      </c>
      <c r="F522" s="5" t="s">
        <v>2815</v>
      </c>
      <c r="G522" s="5" t="s">
        <v>2816</v>
      </c>
      <c r="H522" s="5" t="s">
        <v>2907</v>
      </c>
      <c r="I522" s="5" t="s">
        <v>2845</v>
      </c>
      <c r="J522" s="5"/>
      <c r="K522" s="5"/>
      <c r="L522" s="5"/>
      <c r="M522" s="5" t="s">
        <v>2995</v>
      </c>
      <c r="N522" s="5" t="s">
        <v>2996</v>
      </c>
      <c r="O522" s="6" t="s">
        <v>2997</v>
      </c>
    </row>
    <row r="523" customFormat="false" ht="22.35" hidden="false" customHeight="false" outlineLevel="0" collapsed="false">
      <c r="A523" s="5" t="s">
        <v>34</v>
      </c>
      <c r="B523" s="6" t="s">
        <v>2998</v>
      </c>
      <c r="C523" s="5" t="s">
        <v>2999</v>
      </c>
      <c r="D523" s="5" t="s">
        <v>509</v>
      </c>
      <c r="E523" s="5" t="s">
        <v>510</v>
      </c>
      <c r="F523" s="5" t="s">
        <v>2815</v>
      </c>
      <c r="G523" s="5" t="s">
        <v>2816</v>
      </c>
      <c r="H523" s="5" t="s">
        <v>2907</v>
      </c>
      <c r="I523" s="5" t="s">
        <v>2851</v>
      </c>
      <c r="J523" s="5"/>
      <c r="K523" s="5"/>
      <c r="L523" s="5"/>
      <c r="M523" s="5" t="s">
        <v>3000</v>
      </c>
      <c r="N523" s="5" t="s">
        <v>3001</v>
      </c>
      <c r="O523" s="6" t="s">
        <v>3002</v>
      </c>
    </row>
    <row r="524" customFormat="false" ht="22.35" hidden="false" customHeight="false" outlineLevel="0" collapsed="false">
      <c r="A524" s="5" t="s">
        <v>34</v>
      </c>
      <c r="B524" s="6" t="s">
        <v>3003</v>
      </c>
      <c r="C524" s="5" t="s">
        <v>3004</v>
      </c>
      <c r="D524" s="5" t="s">
        <v>509</v>
      </c>
      <c r="E524" s="5" t="s">
        <v>510</v>
      </c>
      <c r="F524" s="5" t="s">
        <v>2815</v>
      </c>
      <c r="G524" s="5" t="s">
        <v>2816</v>
      </c>
      <c r="H524" s="5" t="s">
        <v>2907</v>
      </c>
      <c r="I524" s="5" t="s">
        <v>2857</v>
      </c>
      <c r="J524" s="5"/>
      <c r="K524" s="5"/>
      <c r="L524" s="5"/>
      <c r="M524" s="5" t="s">
        <v>3005</v>
      </c>
      <c r="N524" s="5" t="s">
        <v>3006</v>
      </c>
      <c r="O524" s="6" t="s">
        <v>3007</v>
      </c>
    </row>
    <row r="525" customFormat="false" ht="23.85" hidden="false" customHeight="false" outlineLevel="0" collapsed="false">
      <c r="A525" s="5" t="s">
        <v>34</v>
      </c>
      <c r="B525" s="6" t="s">
        <v>3008</v>
      </c>
      <c r="C525" s="5" t="s">
        <v>3009</v>
      </c>
      <c r="D525" s="5" t="s">
        <v>509</v>
      </c>
      <c r="E525" s="5" t="s">
        <v>510</v>
      </c>
      <c r="F525" s="5" t="s">
        <v>2815</v>
      </c>
      <c r="G525" s="5" t="s">
        <v>2816</v>
      </c>
      <c r="H525" s="5" t="s">
        <v>2913</v>
      </c>
      <c r="I525" s="5" t="s">
        <v>2868</v>
      </c>
      <c r="J525" s="5"/>
      <c r="K525" s="5"/>
      <c r="L525" s="5"/>
      <c r="M525" s="5" t="s">
        <v>3010</v>
      </c>
      <c r="N525" s="5" t="s">
        <v>3011</v>
      </c>
      <c r="O525" s="6" t="s">
        <v>3012</v>
      </c>
    </row>
    <row r="526" customFormat="false" ht="23.85" hidden="false" customHeight="false" outlineLevel="0" collapsed="false">
      <c r="A526" s="9" t="s">
        <v>34</v>
      </c>
      <c r="B526" s="10" t="s">
        <v>3013</v>
      </c>
      <c r="C526" s="9" t="s">
        <v>3014</v>
      </c>
      <c r="D526" s="9" t="s">
        <v>509</v>
      </c>
      <c r="E526" s="9" t="s">
        <v>510</v>
      </c>
      <c r="F526" s="9" t="s">
        <v>2815</v>
      </c>
      <c r="G526" s="9" t="s">
        <v>2816</v>
      </c>
      <c r="H526" s="9" t="s">
        <v>2913</v>
      </c>
      <c r="I526" s="9" t="s">
        <v>2857</v>
      </c>
      <c r="J526" s="9" t="s">
        <v>3015</v>
      </c>
      <c r="K526" s="9"/>
      <c r="L526" s="9"/>
      <c r="M526" s="9" t="s">
        <v>3016</v>
      </c>
      <c r="N526" s="9" t="s">
        <v>3017</v>
      </c>
      <c r="O526" s="10" t="s">
        <v>3018</v>
      </c>
    </row>
    <row r="527" customFormat="false" ht="23.85" hidden="false" customHeight="false" outlineLevel="0" collapsed="false">
      <c r="A527" s="9" t="s">
        <v>34</v>
      </c>
      <c r="B527" s="10" t="s">
        <v>3019</v>
      </c>
      <c r="C527" s="9" t="s">
        <v>3020</v>
      </c>
      <c r="D527" s="9" t="s">
        <v>509</v>
      </c>
      <c r="E527" s="9" t="s">
        <v>510</v>
      </c>
      <c r="F527" s="9" t="s">
        <v>2815</v>
      </c>
      <c r="G527" s="9" t="s">
        <v>2816</v>
      </c>
      <c r="H527" s="9" t="s">
        <v>3021</v>
      </c>
      <c r="I527" s="9" t="s">
        <v>2818</v>
      </c>
      <c r="J527" s="9" t="s">
        <v>2819</v>
      </c>
      <c r="K527" s="9"/>
      <c r="L527" s="9"/>
      <c r="M527" s="9" t="s">
        <v>2975</v>
      </c>
      <c r="N527" s="9" t="s">
        <v>3022</v>
      </c>
      <c r="O527" s="10" t="s">
        <v>3023</v>
      </c>
    </row>
    <row r="528" customFormat="false" ht="23.85" hidden="false" customHeight="false" outlineLevel="0" collapsed="false">
      <c r="A528" s="5" t="s">
        <v>34</v>
      </c>
      <c r="B528" s="6" t="s">
        <v>3024</v>
      </c>
      <c r="C528" s="5" t="s">
        <v>3025</v>
      </c>
      <c r="D528" s="5" t="s">
        <v>509</v>
      </c>
      <c r="E528" s="5" t="s">
        <v>429</v>
      </c>
      <c r="F528" s="5" t="s">
        <v>2815</v>
      </c>
      <c r="G528" s="5" t="s">
        <v>2816</v>
      </c>
      <c r="H528" s="5" t="s">
        <v>3026</v>
      </c>
      <c r="I528" s="5" t="s">
        <v>2827</v>
      </c>
      <c r="J528" s="5"/>
      <c r="K528" s="5"/>
      <c r="L528" s="5"/>
      <c r="M528" s="5" t="s">
        <v>3027</v>
      </c>
      <c r="N528" s="5" t="s">
        <v>3028</v>
      </c>
      <c r="O528" s="6" t="s">
        <v>3029</v>
      </c>
    </row>
    <row r="529" customFormat="false" ht="23.85" hidden="false" customHeight="false" outlineLevel="0" collapsed="false">
      <c r="A529" s="5" t="s">
        <v>34</v>
      </c>
      <c r="B529" s="6" t="s">
        <v>3030</v>
      </c>
      <c r="C529" s="5" t="s">
        <v>3031</v>
      </c>
      <c r="D529" s="5" t="s">
        <v>509</v>
      </c>
      <c r="E529" s="5" t="s">
        <v>429</v>
      </c>
      <c r="F529" s="5" t="s">
        <v>2815</v>
      </c>
      <c r="G529" s="5" t="s">
        <v>2816</v>
      </c>
      <c r="H529" s="5" t="s">
        <v>3026</v>
      </c>
      <c r="I529" s="5" t="s">
        <v>2833</v>
      </c>
      <c r="J529" s="5"/>
      <c r="K529" s="5"/>
      <c r="L529" s="5"/>
      <c r="M529" s="5" t="s">
        <v>3032</v>
      </c>
      <c r="N529" s="5" t="s">
        <v>3033</v>
      </c>
      <c r="O529" s="6" t="s">
        <v>3034</v>
      </c>
    </row>
    <row r="530" customFormat="false" ht="23.85" hidden="false" customHeight="false" outlineLevel="0" collapsed="false">
      <c r="A530" s="5" t="s">
        <v>34</v>
      </c>
      <c r="B530" s="6" t="s">
        <v>3035</v>
      </c>
      <c r="C530" s="5" t="s">
        <v>3036</v>
      </c>
      <c r="D530" s="5" t="s">
        <v>509</v>
      </c>
      <c r="E530" s="5" t="s">
        <v>429</v>
      </c>
      <c r="F530" s="5" t="s">
        <v>2815</v>
      </c>
      <c r="G530" s="5" t="s">
        <v>2816</v>
      </c>
      <c r="H530" s="5" t="s">
        <v>3026</v>
      </c>
      <c r="I530" s="5" t="s">
        <v>2839</v>
      </c>
      <c r="J530" s="5"/>
      <c r="K530" s="5"/>
      <c r="L530" s="5"/>
      <c r="M530" s="5" t="s">
        <v>3037</v>
      </c>
      <c r="N530" s="5" t="s">
        <v>3038</v>
      </c>
      <c r="O530" s="6" t="s">
        <v>3039</v>
      </c>
    </row>
    <row r="531" customFormat="false" ht="23.85" hidden="false" customHeight="false" outlineLevel="0" collapsed="false">
      <c r="A531" s="5" t="s">
        <v>34</v>
      </c>
      <c r="B531" s="6" t="s">
        <v>3040</v>
      </c>
      <c r="C531" s="5" t="s">
        <v>3041</v>
      </c>
      <c r="D531" s="5" t="s">
        <v>509</v>
      </c>
      <c r="E531" s="5" t="s">
        <v>429</v>
      </c>
      <c r="F531" s="5" t="s">
        <v>2815</v>
      </c>
      <c r="G531" s="5" t="s">
        <v>2816</v>
      </c>
      <c r="H531" s="5" t="s">
        <v>3026</v>
      </c>
      <c r="I531" s="5" t="s">
        <v>2845</v>
      </c>
      <c r="J531" s="5"/>
      <c r="K531" s="5"/>
      <c r="L531" s="5"/>
      <c r="M531" s="5" t="s">
        <v>3042</v>
      </c>
      <c r="N531" s="5" t="s">
        <v>3043</v>
      </c>
      <c r="O531" s="6" t="s">
        <v>3044</v>
      </c>
    </row>
    <row r="532" customFormat="false" ht="23.85" hidden="false" customHeight="false" outlineLevel="0" collapsed="false">
      <c r="A532" s="5" t="s">
        <v>34</v>
      </c>
      <c r="B532" s="6" t="s">
        <v>3045</v>
      </c>
      <c r="C532" s="5" t="s">
        <v>3046</v>
      </c>
      <c r="D532" s="5" t="s">
        <v>509</v>
      </c>
      <c r="E532" s="5" t="s">
        <v>429</v>
      </c>
      <c r="F532" s="5" t="s">
        <v>2815</v>
      </c>
      <c r="G532" s="5" t="s">
        <v>2816</v>
      </c>
      <c r="H532" s="5" t="s">
        <v>3026</v>
      </c>
      <c r="I532" s="5" t="s">
        <v>2851</v>
      </c>
      <c r="J532" s="5"/>
      <c r="K532" s="5"/>
      <c r="L532" s="5"/>
      <c r="M532" s="5" t="s">
        <v>3047</v>
      </c>
      <c r="N532" s="5" t="s">
        <v>3048</v>
      </c>
      <c r="O532" s="6" t="s">
        <v>3049</v>
      </c>
    </row>
    <row r="533" customFormat="false" ht="23.85" hidden="false" customHeight="false" outlineLevel="0" collapsed="false">
      <c r="A533" s="5" t="s">
        <v>34</v>
      </c>
      <c r="B533" s="6" t="s">
        <v>3050</v>
      </c>
      <c r="C533" s="5" t="s">
        <v>3051</v>
      </c>
      <c r="D533" s="5" t="s">
        <v>509</v>
      </c>
      <c r="E533" s="5" t="s">
        <v>510</v>
      </c>
      <c r="F533" s="5" t="s">
        <v>2815</v>
      </c>
      <c r="G533" s="5" t="s">
        <v>2816</v>
      </c>
      <c r="H533" s="5" t="s">
        <v>3026</v>
      </c>
      <c r="I533" s="5" t="s">
        <v>2857</v>
      </c>
      <c r="J533" s="5"/>
      <c r="K533" s="5"/>
      <c r="L533" s="5"/>
      <c r="M533" s="5" t="s">
        <v>3052</v>
      </c>
      <c r="N533" s="5" t="s">
        <v>3053</v>
      </c>
      <c r="O533" s="6" t="s">
        <v>3054</v>
      </c>
    </row>
    <row r="534" customFormat="false" ht="15" hidden="false" customHeight="false" outlineLevel="0" collapsed="false">
      <c r="A534" s="5" t="s">
        <v>34</v>
      </c>
      <c r="B534" s="6" t="s">
        <v>3055</v>
      </c>
      <c r="C534" s="5" t="s">
        <v>3056</v>
      </c>
      <c r="D534" s="5" t="s">
        <v>509</v>
      </c>
      <c r="E534" s="5" t="s">
        <v>510</v>
      </c>
      <c r="F534" s="5" t="s">
        <v>2815</v>
      </c>
      <c r="G534" s="5" t="s">
        <v>2816</v>
      </c>
      <c r="H534" s="5" t="s">
        <v>2907</v>
      </c>
      <c r="I534" s="5" t="s">
        <v>2868</v>
      </c>
      <c r="J534" s="5"/>
      <c r="K534" s="5"/>
      <c r="L534" s="5"/>
      <c r="M534" s="5" t="s">
        <v>3057</v>
      </c>
      <c r="N534" s="5" t="s">
        <v>3058</v>
      </c>
      <c r="O534" s="6" t="s">
        <v>3059</v>
      </c>
    </row>
    <row r="535" customFormat="false" ht="23.85" hidden="false" customHeight="false" outlineLevel="0" collapsed="false">
      <c r="A535" s="5" t="s">
        <v>34</v>
      </c>
      <c r="B535" s="6" t="s">
        <v>3060</v>
      </c>
      <c r="C535" s="5" t="s">
        <v>3061</v>
      </c>
      <c r="D535" s="5" t="s">
        <v>509</v>
      </c>
      <c r="E535" s="5" t="s">
        <v>510</v>
      </c>
      <c r="F535" s="5" t="s">
        <v>2815</v>
      </c>
      <c r="G535" s="5" t="s">
        <v>2816</v>
      </c>
      <c r="H535" s="5" t="s">
        <v>2882</v>
      </c>
      <c r="I535" s="5" t="s">
        <v>2818</v>
      </c>
      <c r="J535" s="5"/>
      <c r="K535" s="5" t="s">
        <v>3062</v>
      </c>
      <c r="L535" s="5"/>
      <c r="M535" s="5" t="s">
        <v>3063</v>
      </c>
      <c r="N535" s="5" t="s">
        <v>3064</v>
      </c>
      <c r="O535" s="6" t="s">
        <v>3065</v>
      </c>
    </row>
    <row r="536" customFormat="false" ht="23.85" hidden="false" customHeight="false" outlineLevel="0" collapsed="false">
      <c r="A536" s="5" t="s">
        <v>34</v>
      </c>
      <c r="B536" s="6" t="s">
        <v>3066</v>
      </c>
      <c r="C536" s="5" t="s">
        <v>3067</v>
      </c>
      <c r="D536" s="5" t="s">
        <v>509</v>
      </c>
      <c r="E536" s="5" t="s">
        <v>510</v>
      </c>
      <c r="F536" s="5" t="s">
        <v>2815</v>
      </c>
      <c r="G536" s="5" t="s">
        <v>2816</v>
      </c>
      <c r="H536" s="5" t="s">
        <v>2882</v>
      </c>
      <c r="I536" s="5" t="s">
        <v>2868</v>
      </c>
      <c r="J536" s="5"/>
      <c r="K536" s="5"/>
      <c r="L536" s="5"/>
      <c r="M536" s="5" t="s">
        <v>3068</v>
      </c>
      <c r="N536" s="5" t="s">
        <v>3069</v>
      </c>
      <c r="O536" s="6" t="s">
        <v>3070</v>
      </c>
    </row>
    <row r="537" customFormat="false" ht="23.85" hidden="false" customHeight="false" outlineLevel="0" collapsed="false">
      <c r="A537" s="5" t="s">
        <v>34</v>
      </c>
      <c r="B537" s="6" t="s">
        <v>3071</v>
      </c>
      <c r="C537" s="5" t="s">
        <v>3072</v>
      </c>
      <c r="D537" s="5" t="s">
        <v>509</v>
      </c>
      <c r="E537" s="5" t="s">
        <v>429</v>
      </c>
      <c r="F537" s="5" t="s">
        <v>2815</v>
      </c>
      <c r="G537" s="5" t="s">
        <v>2816</v>
      </c>
      <c r="H537" s="5" t="s">
        <v>2882</v>
      </c>
      <c r="I537" s="5" t="s">
        <v>2827</v>
      </c>
      <c r="J537" s="5"/>
      <c r="K537" s="5"/>
      <c r="L537" s="5"/>
      <c r="M537" s="5" t="s">
        <v>3073</v>
      </c>
      <c r="N537" s="5" t="s">
        <v>3074</v>
      </c>
      <c r="O537" s="6" t="s">
        <v>3075</v>
      </c>
    </row>
    <row r="538" customFormat="false" ht="23.85" hidden="false" customHeight="false" outlineLevel="0" collapsed="false">
      <c r="A538" s="5" t="s">
        <v>34</v>
      </c>
      <c r="B538" s="6" t="s">
        <v>3076</v>
      </c>
      <c r="C538" s="5" t="s">
        <v>3077</v>
      </c>
      <c r="D538" s="5" t="s">
        <v>509</v>
      </c>
      <c r="E538" s="5" t="s">
        <v>429</v>
      </c>
      <c r="F538" s="5" t="s">
        <v>2815</v>
      </c>
      <c r="G538" s="5" t="s">
        <v>2816</v>
      </c>
      <c r="H538" s="5" t="s">
        <v>2882</v>
      </c>
      <c r="I538" s="5" t="s">
        <v>2833</v>
      </c>
      <c r="J538" s="5"/>
      <c r="K538" s="5"/>
      <c r="L538" s="5"/>
      <c r="M538" s="5" t="s">
        <v>3078</v>
      </c>
      <c r="N538" s="5" t="s">
        <v>3079</v>
      </c>
      <c r="O538" s="6" t="s">
        <v>3080</v>
      </c>
    </row>
    <row r="539" customFormat="false" ht="23.85" hidden="false" customHeight="false" outlineLevel="0" collapsed="false">
      <c r="A539" s="5" t="s">
        <v>34</v>
      </c>
      <c r="B539" s="6" t="s">
        <v>3081</v>
      </c>
      <c r="C539" s="5" t="s">
        <v>3082</v>
      </c>
      <c r="D539" s="5" t="s">
        <v>509</v>
      </c>
      <c r="E539" s="5" t="s">
        <v>429</v>
      </c>
      <c r="F539" s="5" t="s">
        <v>2815</v>
      </c>
      <c r="G539" s="5" t="s">
        <v>2816</v>
      </c>
      <c r="H539" s="5" t="s">
        <v>2882</v>
      </c>
      <c r="I539" s="5" t="s">
        <v>2839</v>
      </c>
      <c r="J539" s="5"/>
      <c r="K539" s="5"/>
      <c r="L539" s="5"/>
      <c r="M539" s="5" t="s">
        <v>3083</v>
      </c>
      <c r="N539" s="5" t="s">
        <v>3084</v>
      </c>
      <c r="O539" s="6" t="s">
        <v>3085</v>
      </c>
    </row>
    <row r="540" customFormat="false" ht="23.85" hidden="false" customHeight="false" outlineLevel="0" collapsed="false">
      <c r="A540" s="5" t="s">
        <v>34</v>
      </c>
      <c r="B540" s="6" t="s">
        <v>3086</v>
      </c>
      <c r="C540" s="5" t="s">
        <v>3087</v>
      </c>
      <c r="D540" s="5" t="s">
        <v>509</v>
      </c>
      <c r="E540" s="5" t="s">
        <v>510</v>
      </c>
      <c r="F540" s="5" t="s">
        <v>2815</v>
      </c>
      <c r="G540" s="5" t="s">
        <v>2816</v>
      </c>
      <c r="H540" s="5" t="s">
        <v>2882</v>
      </c>
      <c r="I540" s="5" t="s">
        <v>2845</v>
      </c>
      <c r="J540" s="5"/>
      <c r="K540" s="5"/>
      <c r="L540" s="5"/>
      <c r="M540" s="5" t="s">
        <v>3088</v>
      </c>
      <c r="N540" s="5" t="s">
        <v>3089</v>
      </c>
      <c r="O540" s="6" t="s">
        <v>3090</v>
      </c>
    </row>
    <row r="541" customFormat="false" ht="23.85" hidden="false" customHeight="false" outlineLevel="0" collapsed="false">
      <c r="A541" s="5" t="s">
        <v>34</v>
      </c>
      <c r="B541" s="6" t="s">
        <v>3091</v>
      </c>
      <c r="C541" s="5" t="s">
        <v>3092</v>
      </c>
      <c r="D541" s="5" t="s">
        <v>509</v>
      </c>
      <c r="E541" s="5" t="s">
        <v>510</v>
      </c>
      <c r="F541" s="5" t="s">
        <v>2815</v>
      </c>
      <c r="G541" s="5" t="s">
        <v>2816</v>
      </c>
      <c r="H541" s="5" t="s">
        <v>2882</v>
      </c>
      <c r="I541" s="5" t="s">
        <v>2851</v>
      </c>
      <c r="J541" s="5"/>
      <c r="K541" s="5"/>
      <c r="L541" s="5"/>
      <c r="M541" s="5" t="s">
        <v>3093</v>
      </c>
      <c r="N541" s="5" t="s">
        <v>3094</v>
      </c>
      <c r="O541" s="6" t="s">
        <v>3095</v>
      </c>
    </row>
    <row r="542" customFormat="false" ht="23.85" hidden="false" customHeight="false" outlineLevel="0" collapsed="false">
      <c r="A542" s="5" t="s">
        <v>34</v>
      </c>
      <c r="B542" s="6" t="s">
        <v>3096</v>
      </c>
      <c r="C542" s="5" t="s">
        <v>3097</v>
      </c>
      <c r="D542" s="5" t="s">
        <v>509</v>
      </c>
      <c r="E542" s="5" t="s">
        <v>510</v>
      </c>
      <c r="F542" s="5" t="s">
        <v>2815</v>
      </c>
      <c r="G542" s="5" t="s">
        <v>2816</v>
      </c>
      <c r="H542" s="5" t="s">
        <v>2882</v>
      </c>
      <c r="I542" s="5" t="s">
        <v>2857</v>
      </c>
      <c r="J542" s="5"/>
      <c r="K542" s="5"/>
      <c r="L542" s="5"/>
      <c r="M542" s="5" t="s">
        <v>3098</v>
      </c>
      <c r="N542" s="5" t="s">
        <v>3099</v>
      </c>
      <c r="O542" s="6" t="s">
        <v>3100</v>
      </c>
    </row>
    <row r="543" customFormat="false" ht="23.85" hidden="false" customHeight="false" outlineLevel="0" collapsed="false">
      <c r="A543" s="5" t="s">
        <v>34</v>
      </c>
      <c r="B543" s="6" t="s">
        <v>3101</v>
      </c>
      <c r="C543" s="5" t="s">
        <v>3102</v>
      </c>
      <c r="D543" s="5" t="s">
        <v>509</v>
      </c>
      <c r="E543" s="5" t="s">
        <v>429</v>
      </c>
      <c r="F543" s="5" t="s">
        <v>2815</v>
      </c>
      <c r="G543" s="5" t="s">
        <v>2816</v>
      </c>
      <c r="H543" s="5" t="s">
        <v>2901</v>
      </c>
      <c r="I543" s="5" t="s">
        <v>2827</v>
      </c>
      <c r="J543" s="5"/>
      <c r="K543" s="5"/>
      <c r="L543" s="5"/>
      <c r="M543" s="5" t="s">
        <v>3103</v>
      </c>
      <c r="N543" s="5" t="s">
        <v>3104</v>
      </c>
      <c r="O543" s="6" t="s">
        <v>3105</v>
      </c>
    </row>
    <row r="544" customFormat="false" ht="23.85" hidden="false" customHeight="false" outlineLevel="0" collapsed="false">
      <c r="A544" s="5" t="s">
        <v>34</v>
      </c>
      <c r="B544" s="6" t="s">
        <v>3106</v>
      </c>
      <c r="C544" s="5" t="s">
        <v>3107</v>
      </c>
      <c r="D544" s="5" t="s">
        <v>509</v>
      </c>
      <c r="E544" s="5" t="s">
        <v>429</v>
      </c>
      <c r="F544" s="5" t="s">
        <v>2815</v>
      </c>
      <c r="G544" s="5" t="s">
        <v>2816</v>
      </c>
      <c r="H544" s="5" t="s">
        <v>2901</v>
      </c>
      <c r="I544" s="5" t="s">
        <v>2833</v>
      </c>
      <c r="J544" s="5"/>
      <c r="K544" s="5"/>
      <c r="L544" s="5"/>
      <c r="M544" s="5" t="s">
        <v>3108</v>
      </c>
      <c r="N544" s="5" t="s">
        <v>3109</v>
      </c>
      <c r="O544" s="6" t="s">
        <v>3110</v>
      </c>
    </row>
    <row r="545" customFormat="false" ht="23.85" hidden="false" customHeight="false" outlineLevel="0" collapsed="false">
      <c r="A545" s="5" t="s">
        <v>34</v>
      </c>
      <c r="B545" s="6" t="s">
        <v>3111</v>
      </c>
      <c r="C545" s="5" t="s">
        <v>3112</v>
      </c>
      <c r="D545" s="5" t="s">
        <v>509</v>
      </c>
      <c r="E545" s="5" t="s">
        <v>429</v>
      </c>
      <c r="F545" s="5" t="s">
        <v>2815</v>
      </c>
      <c r="G545" s="5" t="s">
        <v>2816</v>
      </c>
      <c r="H545" s="5" t="s">
        <v>2901</v>
      </c>
      <c r="I545" s="5" t="s">
        <v>2839</v>
      </c>
      <c r="J545" s="5"/>
      <c r="K545" s="5"/>
      <c r="L545" s="5"/>
      <c r="M545" s="5" t="s">
        <v>3113</v>
      </c>
      <c r="N545" s="5" t="s">
        <v>3114</v>
      </c>
      <c r="O545" s="6" t="s">
        <v>3115</v>
      </c>
    </row>
    <row r="546" customFormat="false" ht="23.85" hidden="false" customHeight="false" outlineLevel="0" collapsed="false">
      <c r="A546" s="5" t="s">
        <v>34</v>
      </c>
      <c r="B546" s="6" t="s">
        <v>3116</v>
      </c>
      <c r="C546" s="5" t="s">
        <v>3117</v>
      </c>
      <c r="D546" s="5" t="s">
        <v>509</v>
      </c>
      <c r="E546" s="5" t="s">
        <v>510</v>
      </c>
      <c r="F546" s="5" t="s">
        <v>2815</v>
      </c>
      <c r="G546" s="5" t="s">
        <v>2816</v>
      </c>
      <c r="H546" s="5" t="s">
        <v>2901</v>
      </c>
      <c r="I546" s="5" t="s">
        <v>2845</v>
      </c>
      <c r="J546" s="5"/>
      <c r="K546" s="5"/>
      <c r="L546" s="5"/>
      <c r="M546" s="5" t="s">
        <v>3118</v>
      </c>
      <c r="N546" s="5" t="s">
        <v>3119</v>
      </c>
      <c r="O546" s="6" t="s">
        <v>3120</v>
      </c>
    </row>
    <row r="547" customFormat="false" ht="23.85" hidden="false" customHeight="false" outlineLevel="0" collapsed="false">
      <c r="A547" s="5" t="s">
        <v>34</v>
      </c>
      <c r="B547" s="6" t="s">
        <v>3121</v>
      </c>
      <c r="C547" s="5" t="s">
        <v>3122</v>
      </c>
      <c r="D547" s="5" t="s">
        <v>509</v>
      </c>
      <c r="E547" s="5" t="s">
        <v>510</v>
      </c>
      <c r="F547" s="5" t="s">
        <v>2815</v>
      </c>
      <c r="G547" s="5" t="s">
        <v>2816</v>
      </c>
      <c r="H547" s="5" t="s">
        <v>2901</v>
      </c>
      <c r="I547" s="5" t="s">
        <v>2851</v>
      </c>
      <c r="J547" s="5"/>
      <c r="K547" s="5"/>
      <c r="L547" s="5"/>
      <c r="M547" s="5" t="s">
        <v>3123</v>
      </c>
      <c r="N547" s="5" t="s">
        <v>3124</v>
      </c>
      <c r="O547" s="6" t="s">
        <v>3125</v>
      </c>
    </row>
    <row r="548" customFormat="false" ht="23.85" hidden="false" customHeight="false" outlineLevel="0" collapsed="false">
      <c r="A548" s="5" t="s">
        <v>34</v>
      </c>
      <c r="B548" s="6" t="s">
        <v>3126</v>
      </c>
      <c r="C548" s="5" t="s">
        <v>3127</v>
      </c>
      <c r="D548" s="5" t="s">
        <v>509</v>
      </c>
      <c r="E548" s="5" t="s">
        <v>510</v>
      </c>
      <c r="F548" s="5" t="s">
        <v>2815</v>
      </c>
      <c r="G548" s="5" t="s">
        <v>2816</v>
      </c>
      <c r="H548" s="5" t="s">
        <v>2901</v>
      </c>
      <c r="I548" s="5" t="s">
        <v>2857</v>
      </c>
      <c r="J548" s="5"/>
      <c r="K548" s="5"/>
      <c r="L548" s="5"/>
      <c r="M548" s="5" t="s">
        <v>3128</v>
      </c>
      <c r="N548" s="5" t="s">
        <v>3129</v>
      </c>
      <c r="O548" s="6" t="s">
        <v>3130</v>
      </c>
    </row>
    <row r="549" customFormat="false" ht="23.85" hidden="false" customHeight="false" outlineLevel="0" collapsed="false">
      <c r="A549" s="5" t="s">
        <v>34</v>
      </c>
      <c r="B549" s="6" t="s">
        <v>3131</v>
      </c>
      <c r="C549" s="5" t="s">
        <v>3132</v>
      </c>
      <c r="D549" s="5" t="s">
        <v>509</v>
      </c>
      <c r="E549" s="5" t="s">
        <v>510</v>
      </c>
      <c r="F549" s="5" t="s">
        <v>2815</v>
      </c>
      <c r="G549" s="5" t="s">
        <v>2816</v>
      </c>
      <c r="H549" s="5" t="s">
        <v>2901</v>
      </c>
      <c r="I549" s="5" t="s">
        <v>2818</v>
      </c>
      <c r="J549" s="5"/>
      <c r="K549" s="5"/>
      <c r="L549" s="5"/>
      <c r="M549" s="5" t="s">
        <v>3133</v>
      </c>
      <c r="N549" s="5" t="s">
        <v>3134</v>
      </c>
      <c r="O549" s="6" t="s">
        <v>3135</v>
      </c>
    </row>
    <row r="550" customFormat="false" ht="23.85" hidden="false" customHeight="false" outlineLevel="0" collapsed="false">
      <c r="A550" s="5" t="s">
        <v>34</v>
      </c>
      <c r="B550" s="6" t="s">
        <v>3136</v>
      </c>
      <c r="C550" s="5" t="s">
        <v>3137</v>
      </c>
      <c r="D550" s="5" t="s">
        <v>509</v>
      </c>
      <c r="E550" s="5" t="s">
        <v>510</v>
      </c>
      <c r="F550" s="5" t="s">
        <v>2815</v>
      </c>
      <c r="G550" s="5" t="s">
        <v>2816</v>
      </c>
      <c r="H550" s="5" t="s">
        <v>2901</v>
      </c>
      <c r="I550" s="5" t="s">
        <v>2868</v>
      </c>
      <c r="J550" s="5"/>
      <c r="K550" s="5"/>
      <c r="L550" s="5"/>
      <c r="M550" s="5" t="s">
        <v>3138</v>
      </c>
      <c r="N550" s="5" t="s">
        <v>3139</v>
      </c>
      <c r="O550" s="6" t="s">
        <v>3140</v>
      </c>
    </row>
    <row r="551" customFormat="false" ht="23.85" hidden="false" customHeight="false" outlineLevel="0" collapsed="false">
      <c r="A551" s="9" t="s">
        <v>34</v>
      </c>
      <c r="B551" s="10" t="s">
        <v>3141</v>
      </c>
      <c r="C551" s="9" t="s">
        <v>3142</v>
      </c>
      <c r="D551" s="9" t="s">
        <v>509</v>
      </c>
      <c r="E551" s="9" t="s">
        <v>510</v>
      </c>
      <c r="F551" s="9" t="s">
        <v>2815</v>
      </c>
      <c r="G551" s="9" t="s">
        <v>2816</v>
      </c>
      <c r="H551" s="9" t="s">
        <v>2874</v>
      </c>
      <c r="I551" s="9" t="s">
        <v>2818</v>
      </c>
      <c r="J551" s="9" t="s">
        <v>3143</v>
      </c>
      <c r="K551" s="9"/>
      <c r="L551" s="9"/>
      <c r="M551" s="9" t="s">
        <v>2821</v>
      </c>
      <c r="N551" s="9" t="s">
        <v>3144</v>
      </c>
      <c r="O551" s="10" t="s">
        <v>3145</v>
      </c>
    </row>
    <row r="552" customFormat="false" ht="23.85" hidden="false" customHeight="false" outlineLevel="0" collapsed="false">
      <c r="A552" s="5" t="s">
        <v>34</v>
      </c>
      <c r="B552" s="6" t="s">
        <v>3146</v>
      </c>
      <c r="C552" s="5" t="s">
        <v>3147</v>
      </c>
      <c r="D552" s="5" t="s">
        <v>509</v>
      </c>
      <c r="E552" s="5" t="s">
        <v>429</v>
      </c>
      <c r="F552" s="5" t="s">
        <v>2815</v>
      </c>
      <c r="G552" s="5" t="s">
        <v>2816</v>
      </c>
      <c r="H552" s="5" t="s">
        <v>2874</v>
      </c>
      <c r="I552" s="5" t="s">
        <v>2833</v>
      </c>
      <c r="J552" s="5"/>
      <c r="K552" s="5"/>
      <c r="L552" s="5"/>
      <c r="M552" s="5" t="s">
        <v>3148</v>
      </c>
      <c r="N552" s="5" t="s">
        <v>3149</v>
      </c>
      <c r="O552" s="6" t="s">
        <v>3150</v>
      </c>
    </row>
    <row r="553" customFormat="false" ht="23.85" hidden="false" customHeight="false" outlineLevel="0" collapsed="false">
      <c r="A553" s="5" t="s">
        <v>34</v>
      </c>
      <c r="B553" s="6" t="s">
        <v>3151</v>
      </c>
      <c r="C553" s="5" t="s">
        <v>3152</v>
      </c>
      <c r="D553" s="5" t="s">
        <v>509</v>
      </c>
      <c r="E553" s="5" t="s">
        <v>429</v>
      </c>
      <c r="F553" s="5" t="s">
        <v>2815</v>
      </c>
      <c r="G553" s="5" t="s">
        <v>2816</v>
      </c>
      <c r="H553" s="5" t="s">
        <v>2874</v>
      </c>
      <c r="I553" s="5" t="s">
        <v>2839</v>
      </c>
      <c r="J553" s="5"/>
      <c r="K553" s="5"/>
      <c r="L553" s="5"/>
      <c r="M553" s="5" t="s">
        <v>3153</v>
      </c>
      <c r="N553" s="5" t="s">
        <v>3154</v>
      </c>
      <c r="O553" s="6" t="s">
        <v>3155</v>
      </c>
    </row>
    <row r="554" customFormat="false" ht="23.85" hidden="false" customHeight="false" outlineLevel="0" collapsed="false">
      <c r="A554" s="5" t="s">
        <v>34</v>
      </c>
      <c r="B554" s="6" t="s">
        <v>3156</v>
      </c>
      <c r="C554" s="5" t="s">
        <v>3157</v>
      </c>
      <c r="D554" s="5" t="s">
        <v>509</v>
      </c>
      <c r="E554" s="5" t="s">
        <v>510</v>
      </c>
      <c r="F554" s="5" t="s">
        <v>2815</v>
      </c>
      <c r="G554" s="5" t="s">
        <v>2816</v>
      </c>
      <c r="H554" s="5" t="s">
        <v>2874</v>
      </c>
      <c r="I554" s="5" t="s">
        <v>2845</v>
      </c>
      <c r="J554" s="5"/>
      <c r="K554" s="5"/>
      <c r="L554" s="5"/>
      <c r="M554" s="5" t="s">
        <v>3158</v>
      </c>
      <c r="N554" s="5" t="s">
        <v>3159</v>
      </c>
      <c r="O554" s="6" t="s">
        <v>3160</v>
      </c>
    </row>
    <row r="555" customFormat="false" ht="23.85" hidden="false" customHeight="false" outlineLevel="0" collapsed="false">
      <c r="A555" s="5" t="s">
        <v>34</v>
      </c>
      <c r="B555" s="6" t="s">
        <v>3161</v>
      </c>
      <c r="C555" s="5" t="s">
        <v>3162</v>
      </c>
      <c r="D555" s="5" t="s">
        <v>509</v>
      </c>
      <c r="E555" s="5" t="s">
        <v>510</v>
      </c>
      <c r="F555" s="5" t="s">
        <v>2815</v>
      </c>
      <c r="G555" s="5" t="s">
        <v>2816</v>
      </c>
      <c r="H555" s="5" t="s">
        <v>2874</v>
      </c>
      <c r="I555" s="5" t="s">
        <v>2851</v>
      </c>
      <c r="J555" s="5"/>
      <c r="K555" s="5"/>
      <c r="L555" s="5"/>
      <c r="M555" s="5" t="s">
        <v>3163</v>
      </c>
      <c r="N555" s="5" t="s">
        <v>3164</v>
      </c>
      <c r="O555" s="6" t="s">
        <v>3165</v>
      </c>
    </row>
    <row r="556" customFormat="false" ht="23.85" hidden="false" customHeight="false" outlineLevel="0" collapsed="false">
      <c r="A556" s="5" t="s">
        <v>34</v>
      </c>
      <c r="B556" s="6" t="s">
        <v>3166</v>
      </c>
      <c r="C556" s="5" t="s">
        <v>3167</v>
      </c>
      <c r="D556" s="5" t="s">
        <v>509</v>
      </c>
      <c r="E556" s="5" t="s">
        <v>510</v>
      </c>
      <c r="F556" s="5" t="s">
        <v>2815</v>
      </c>
      <c r="G556" s="5" t="s">
        <v>2816</v>
      </c>
      <c r="H556" s="5" t="s">
        <v>2874</v>
      </c>
      <c r="I556" s="5" t="s">
        <v>2857</v>
      </c>
      <c r="J556" s="5"/>
      <c r="K556" s="5"/>
      <c r="L556" s="5"/>
      <c r="M556" s="5" t="s">
        <v>3168</v>
      </c>
      <c r="N556" s="5" t="s">
        <v>3169</v>
      </c>
      <c r="O556" s="6" t="s">
        <v>3170</v>
      </c>
    </row>
    <row r="557" customFormat="false" ht="23.85" hidden="false" customHeight="false" outlineLevel="0" collapsed="false">
      <c r="A557" s="5" t="s">
        <v>34</v>
      </c>
      <c r="B557" s="6" t="s">
        <v>3171</v>
      </c>
      <c r="C557" s="5" t="s">
        <v>3172</v>
      </c>
      <c r="D557" s="5" t="s">
        <v>509</v>
      </c>
      <c r="E557" s="5" t="s">
        <v>510</v>
      </c>
      <c r="F557" s="5" t="s">
        <v>2815</v>
      </c>
      <c r="G557" s="5" t="s">
        <v>2816</v>
      </c>
      <c r="H557" s="5" t="s">
        <v>2874</v>
      </c>
      <c r="I557" s="5" t="s">
        <v>2868</v>
      </c>
      <c r="J557" s="5"/>
      <c r="K557" s="5"/>
      <c r="L557" s="5"/>
      <c r="M557" s="5" t="s">
        <v>3173</v>
      </c>
      <c r="N557" s="5" t="s">
        <v>3174</v>
      </c>
      <c r="O557" s="6" t="s">
        <v>3175</v>
      </c>
    </row>
    <row r="558" customFormat="false" ht="23.85" hidden="false" customHeight="false" outlineLevel="0" collapsed="false">
      <c r="A558" s="5" t="s">
        <v>34</v>
      </c>
      <c r="B558" s="6" t="s">
        <v>3176</v>
      </c>
      <c r="C558" s="5" t="s">
        <v>3177</v>
      </c>
      <c r="D558" s="5" t="s">
        <v>509</v>
      </c>
      <c r="E558" s="5" t="s">
        <v>429</v>
      </c>
      <c r="F558" s="5" t="s">
        <v>2815</v>
      </c>
      <c r="G558" s="5" t="s">
        <v>2816</v>
      </c>
      <c r="H558" s="5" t="s">
        <v>2889</v>
      </c>
      <c r="I558" s="5" t="s">
        <v>2868</v>
      </c>
      <c r="J558" s="5"/>
      <c r="K558" s="5"/>
      <c r="L558" s="5"/>
      <c r="M558" s="5" t="s">
        <v>3178</v>
      </c>
      <c r="N558" s="5" t="s">
        <v>3179</v>
      </c>
      <c r="O558" s="6" t="s">
        <v>3180</v>
      </c>
    </row>
    <row r="559" customFormat="false" ht="23.85" hidden="false" customHeight="false" outlineLevel="0" collapsed="false">
      <c r="A559" s="11" t="s">
        <v>34</v>
      </c>
      <c r="B559" s="12" t="s">
        <v>3181</v>
      </c>
      <c r="C559" s="11" t="s">
        <v>3182</v>
      </c>
      <c r="D559" s="11" t="s">
        <v>509</v>
      </c>
      <c r="E559" s="11" t="s">
        <v>429</v>
      </c>
      <c r="F559" s="11" t="s">
        <v>3183</v>
      </c>
      <c r="G559" s="11" t="s">
        <v>3184</v>
      </c>
      <c r="H559" s="11" t="s">
        <v>2901</v>
      </c>
      <c r="I559" s="11" t="s">
        <v>2875</v>
      </c>
      <c r="J559" s="11" t="s">
        <v>2876</v>
      </c>
      <c r="K559" s="11"/>
      <c r="L559" s="11"/>
      <c r="M559" s="11" t="s">
        <v>2902</v>
      </c>
      <c r="N559" s="11" t="s">
        <v>3185</v>
      </c>
      <c r="O559" s="12" t="s">
        <v>3186</v>
      </c>
    </row>
    <row r="560" customFormat="false" ht="15" hidden="false" customHeight="false" outlineLevel="0" collapsed="false">
      <c r="A560" s="11" t="s">
        <v>34</v>
      </c>
      <c r="B560" s="12" t="s">
        <v>3187</v>
      </c>
      <c r="C560" s="11" t="s">
        <v>3188</v>
      </c>
      <c r="D560" s="11" t="s">
        <v>437</v>
      </c>
      <c r="E560" s="11" t="s">
        <v>429</v>
      </c>
      <c r="F560" s="11" t="s">
        <v>3183</v>
      </c>
      <c r="G560" s="11" t="s">
        <v>3184</v>
      </c>
      <c r="H560" s="11"/>
      <c r="I560" s="11"/>
      <c r="J560" s="11"/>
      <c r="K560" s="11"/>
      <c r="L560" s="11"/>
      <c r="M560" s="11"/>
      <c r="N560" s="11" t="s">
        <v>3189</v>
      </c>
      <c r="O560" s="12" t="s">
        <v>3190</v>
      </c>
    </row>
    <row r="561" customFormat="false" ht="15" hidden="false" customHeight="false" outlineLevel="0" collapsed="false">
      <c r="A561" s="11" t="s">
        <v>34</v>
      </c>
      <c r="B561" s="12" t="s">
        <v>3191</v>
      </c>
      <c r="C561" s="11" t="s">
        <v>3192</v>
      </c>
      <c r="D561" s="11" t="s">
        <v>509</v>
      </c>
      <c r="E561" s="11" t="s">
        <v>429</v>
      </c>
      <c r="F561" s="11" t="s">
        <v>3183</v>
      </c>
      <c r="G561" s="11" t="s">
        <v>3184</v>
      </c>
      <c r="H561" s="11"/>
      <c r="I561" s="11"/>
      <c r="J561" s="11"/>
      <c r="K561" s="11"/>
      <c r="L561" s="11"/>
      <c r="M561" s="11"/>
      <c r="N561" s="11" t="s">
        <v>3189</v>
      </c>
      <c r="O561" s="12" t="s">
        <v>3190</v>
      </c>
    </row>
    <row r="562" customFormat="false" ht="23.85" hidden="false" customHeight="false" outlineLevel="0" collapsed="false">
      <c r="A562" s="11" t="s">
        <v>34</v>
      </c>
      <c r="B562" s="12" t="s">
        <v>3193</v>
      </c>
      <c r="C562" s="11" t="s">
        <v>3194</v>
      </c>
      <c r="D562" s="11" t="s">
        <v>437</v>
      </c>
      <c r="E562" s="11" t="s">
        <v>429</v>
      </c>
      <c r="F562" s="11" t="s">
        <v>3183</v>
      </c>
      <c r="G562" s="11" t="s">
        <v>3184</v>
      </c>
      <c r="H562" s="11"/>
      <c r="I562" s="11"/>
      <c r="J562" s="11" t="s">
        <v>3195</v>
      </c>
      <c r="K562" s="11"/>
      <c r="L562" s="11"/>
      <c r="M562" s="11"/>
      <c r="N562" s="11" t="s">
        <v>3189</v>
      </c>
      <c r="O562" s="12" t="s">
        <v>3190</v>
      </c>
    </row>
    <row r="563" customFormat="false" ht="15" hidden="false" customHeight="false" outlineLevel="0" collapsed="false">
      <c r="A563" s="11" t="s">
        <v>34</v>
      </c>
      <c r="B563" s="12" t="s">
        <v>3196</v>
      </c>
      <c r="C563" s="11" t="s">
        <v>3197</v>
      </c>
      <c r="D563" s="11" t="s">
        <v>437</v>
      </c>
      <c r="E563" s="11" t="s">
        <v>429</v>
      </c>
      <c r="F563" s="11" t="s">
        <v>3183</v>
      </c>
      <c r="G563" s="11" t="s">
        <v>3184</v>
      </c>
      <c r="H563" s="11"/>
      <c r="I563" s="11"/>
      <c r="J563" s="11"/>
      <c r="K563" s="11"/>
      <c r="L563" s="11"/>
      <c r="M563" s="11"/>
      <c r="N563" s="11" t="s">
        <v>3189</v>
      </c>
      <c r="O563" s="12" t="s">
        <v>3190</v>
      </c>
    </row>
    <row r="564" customFormat="false" ht="23.85" hidden="false" customHeight="false" outlineLevel="0" collapsed="false">
      <c r="A564" s="11" t="s">
        <v>34</v>
      </c>
      <c r="B564" s="12" t="s">
        <v>3198</v>
      </c>
      <c r="C564" s="11" t="s">
        <v>3199</v>
      </c>
      <c r="D564" s="11" t="s">
        <v>566</v>
      </c>
      <c r="E564" s="11" t="s">
        <v>510</v>
      </c>
      <c r="F564" s="11" t="s">
        <v>3183</v>
      </c>
      <c r="G564" s="11" t="s">
        <v>3184</v>
      </c>
      <c r="H564" s="11"/>
      <c r="I564" s="11"/>
      <c r="J564" s="11"/>
      <c r="K564" s="11"/>
      <c r="L564" s="11" t="s">
        <v>3200</v>
      </c>
      <c r="M564" s="11"/>
      <c r="N564" s="11" t="s">
        <v>3189</v>
      </c>
      <c r="O564" s="12" t="s">
        <v>3190</v>
      </c>
    </row>
    <row r="565" customFormat="false" ht="15" hidden="false" customHeight="false" outlineLevel="0" collapsed="false">
      <c r="A565" s="11" t="s">
        <v>34</v>
      </c>
      <c r="B565" s="12" t="s">
        <v>3201</v>
      </c>
      <c r="C565" s="11" t="s">
        <v>3202</v>
      </c>
      <c r="D565" s="11" t="s">
        <v>437</v>
      </c>
      <c r="E565" s="11" t="s">
        <v>429</v>
      </c>
      <c r="F565" s="11" t="s">
        <v>3183</v>
      </c>
      <c r="G565" s="11" t="s">
        <v>3184</v>
      </c>
      <c r="H565" s="11"/>
      <c r="I565" s="11"/>
      <c r="J565" s="11"/>
      <c r="K565" s="11" t="s">
        <v>3203</v>
      </c>
      <c r="L565" s="11"/>
      <c r="M565" s="11"/>
      <c r="N565" s="11" t="s">
        <v>3189</v>
      </c>
      <c r="O565" s="12" t="s">
        <v>3190</v>
      </c>
    </row>
    <row r="566" customFormat="false" ht="15" hidden="false" customHeight="false" outlineLevel="0" collapsed="false">
      <c r="A566" s="11" t="s">
        <v>34</v>
      </c>
      <c r="B566" s="12" t="s">
        <v>3204</v>
      </c>
      <c r="C566" s="11" t="s">
        <v>3204</v>
      </c>
      <c r="D566" s="11" t="s">
        <v>437</v>
      </c>
      <c r="E566" s="11" t="s">
        <v>429</v>
      </c>
      <c r="F566" s="11" t="s">
        <v>3183</v>
      </c>
      <c r="G566" s="11" t="s">
        <v>3184</v>
      </c>
      <c r="H566" s="11"/>
      <c r="I566" s="11"/>
      <c r="J566" s="11"/>
      <c r="K566" s="11"/>
      <c r="L566" s="11"/>
      <c r="M566" s="11"/>
      <c r="N566" s="11" t="s">
        <v>3189</v>
      </c>
      <c r="O566" s="12" t="s">
        <v>3190</v>
      </c>
    </row>
  </sheetData>
  <autoFilter ref="A1:O5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4" t="s">
        <v>3205</v>
      </c>
      <c r="B1" s="4" t="s">
        <v>420</v>
      </c>
      <c r="C1" s="4" t="s">
        <v>3206</v>
      </c>
      <c r="D1" s="4" t="s">
        <v>414</v>
      </c>
      <c r="E1" s="4" t="s">
        <v>415</v>
      </c>
      <c r="F1" s="4" t="s">
        <v>418</v>
      </c>
      <c r="G1" s="4" t="s">
        <v>3207</v>
      </c>
    </row>
    <row r="2" customFormat="false" ht="15" hidden="false" customHeight="false" outlineLevel="0" collapsed="false">
      <c r="A2" s="5" t="s">
        <v>2826</v>
      </c>
      <c r="B2" s="5" t="s">
        <v>2827</v>
      </c>
      <c r="C2" s="6" t="s">
        <v>2824</v>
      </c>
      <c r="D2" s="5" t="s">
        <v>2825</v>
      </c>
      <c r="E2" s="5" t="s">
        <v>509</v>
      </c>
      <c r="F2" s="5" t="s">
        <v>2816</v>
      </c>
      <c r="G2" s="5"/>
    </row>
    <row r="3" customFormat="false" ht="15" hidden="false" customHeight="false" outlineLevel="0" collapsed="false">
      <c r="A3" s="5" t="s">
        <v>2826</v>
      </c>
      <c r="B3" s="5" t="s">
        <v>2833</v>
      </c>
      <c r="C3" s="6" t="s">
        <v>2831</v>
      </c>
      <c r="D3" s="5" t="s">
        <v>2832</v>
      </c>
      <c r="E3" s="5" t="s">
        <v>509</v>
      </c>
      <c r="F3" s="5" t="s">
        <v>2816</v>
      </c>
      <c r="G3" s="5"/>
    </row>
    <row r="4" customFormat="false" ht="15" hidden="false" customHeight="false" outlineLevel="0" collapsed="false">
      <c r="A4" s="5" t="s">
        <v>2826</v>
      </c>
      <c r="B4" s="5" t="s">
        <v>2839</v>
      </c>
      <c r="C4" s="6" t="s">
        <v>2837</v>
      </c>
      <c r="D4" s="5" t="s">
        <v>2838</v>
      </c>
      <c r="E4" s="5" t="s">
        <v>509</v>
      </c>
      <c r="F4" s="5" t="s">
        <v>2816</v>
      </c>
      <c r="G4" s="5"/>
    </row>
    <row r="5" customFormat="false" ht="15" hidden="false" customHeight="false" outlineLevel="0" collapsed="false">
      <c r="A5" s="5" t="s">
        <v>2826</v>
      </c>
      <c r="B5" s="5" t="s">
        <v>2845</v>
      </c>
      <c r="C5" s="6" t="s">
        <v>2843</v>
      </c>
      <c r="D5" s="5" t="s">
        <v>2844</v>
      </c>
      <c r="E5" s="5" t="s">
        <v>509</v>
      </c>
      <c r="F5" s="5" t="s">
        <v>2816</v>
      </c>
      <c r="G5" s="5"/>
    </row>
    <row r="6" customFormat="false" ht="15" hidden="false" customHeight="false" outlineLevel="0" collapsed="false">
      <c r="A6" s="5" t="s">
        <v>2826</v>
      </c>
      <c r="B6" s="5" t="s">
        <v>2851</v>
      </c>
      <c r="C6" s="6" t="s">
        <v>2849</v>
      </c>
      <c r="D6" s="5" t="s">
        <v>2850</v>
      </c>
      <c r="E6" s="5" t="s">
        <v>509</v>
      </c>
      <c r="F6" s="5" t="s">
        <v>2816</v>
      </c>
      <c r="G6" s="5"/>
    </row>
    <row r="7" customFormat="false" ht="15" hidden="false" customHeight="false" outlineLevel="0" collapsed="false">
      <c r="A7" s="5" t="s">
        <v>2826</v>
      </c>
      <c r="B7" s="5" t="s">
        <v>2857</v>
      </c>
      <c r="C7" s="6" t="s">
        <v>2855</v>
      </c>
      <c r="D7" s="5" t="s">
        <v>2856</v>
      </c>
      <c r="E7" s="5" t="s">
        <v>509</v>
      </c>
      <c r="F7" s="5" t="s">
        <v>2816</v>
      </c>
      <c r="G7" s="5"/>
    </row>
    <row r="8" customFormat="false" ht="15" hidden="false" customHeight="false" outlineLevel="0" collapsed="false">
      <c r="A8" s="5" t="s">
        <v>2826</v>
      </c>
      <c r="B8" s="5" t="s">
        <v>2818</v>
      </c>
      <c r="C8" s="6" t="s">
        <v>2861</v>
      </c>
      <c r="D8" s="5" t="s">
        <v>2862</v>
      </c>
      <c r="E8" s="5" t="s">
        <v>509</v>
      </c>
      <c r="F8" s="5" t="s">
        <v>2816</v>
      </c>
      <c r="G8" s="5"/>
    </row>
    <row r="9" customFormat="false" ht="15" hidden="false" customHeight="false" outlineLevel="0" collapsed="false">
      <c r="A9" s="9" t="s">
        <v>2826</v>
      </c>
      <c r="B9" s="9" t="s">
        <v>2875</v>
      </c>
      <c r="C9" s="10" t="s">
        <v>2893</v>
      </c>
      <c r="D9" s="9" t="s">
        <v>2894</v>
      </c>
      <c r="E9" s="9" t="s">
        <v>509</v>
      </c>
      <c r="F9" s="9" t="s">
        <v>2816</v>
      </c>
      <c r="G9" s="9" t="s">
        <v>2895</v>
      </c>
    </row>
    <row r="10" customFormat="false" ht="15" hidden="false" customHeight="false" outlineLevel="0" collapsed="false">
      <c r="A10" s="5" t="s">
        <v>2826</v>
      </c>
      <c r="B10" s="5" t="s">
        <v>2868</v>
      </c>
      <c r="C10" s="6" t="s">
        <v>2866</v>
      </c>
      <c r="D10" s="5" t="s">
        <v>2867</v>
      </c>
      <c r="E10" s="5" t="s">
        <v>509</v>
      </c>
      <c r="F10" s="5" t="s">
        <v>2816</v>
      </c>
      <c r="G10" s="5"/>
    </row>
    <row r="11" customFormat="false" ht="15" hidden="false" customHeight="false" outlineLevel="0" collapsed="false">
      <c r="A11" s="5" t="s">
        <v>2913</v>
      </c>
      <c r="B11" s="5" t="s">
        <v>2833</v>
      </c>
      <c r="C11" s="6" t="s">
        <v>2917</v>
      </c>
      <c r="D11" s="5" t="s">
        <v>2918</v>
      </c>
      <c r="E11" s="5" t="s">
        <v>509</v>
      </c>
      <c r="F11" s="5" t="s">
        <v>2816</v>
      </c>
      <c r="G11" s="5"/>
    </row>
    <row r="12" customFormat="false" ht="15" hidden="false" customHeight="false" outlineLevel="0" collapsed="false">
      <c r="A12" s="5" t="s">
        <v>2913</v>
      </c>
      <c r="B12" s="5" t="s">
        <v>2839</v>
      </c>
      <c r="C12" s="6" t="s">
        <v>2922</v>
      </c>
      <c r="D12" s="5" t="s">
        <v>2923</v>
      </c>
      <c r="E12" s="5" t="s">
        <v>509</v>
      </c>
      <c r="F12" s="5" t="s">
        <v>2816</v>
      </c>
      <c r="G12" s="5"/>
    </row>
    <row r="13" customFormat="false" ht="15" hidden="false" customHeight="false" outlineLevel="0" collapsed="false">
      <c r="A13" s="5" t="s">
        <v>2913</v>
      </c>
      <c r="B13" s="5" t="s">
        <v>2845</v>
      </c>
      <c r="C13" s="6" t="s">
        <v>2927</v>
      </c>
      <c r="D13" s="5" t="s">
        <v>2928</v>
      </c>
      <c r="E13" s="5" t="s">
        <v>509</v>
      </c>
      <c r="F13" s="5" t="s">
        <v>2816</v>
      </c>
      <c r="G13" s="5"/>
    </row>
    <row r="14" customFormat="false" ht="15" hidden="false" customHeight="false" outlineLevel="0" collapsed="false">
      <c r="A14" s="5" t="s">
        <v>2913</v>
      </c>
      <c r="B14" s="5" t="s">
        <v>2851</v>
      </c>
      <c r="C14" s="6" t="s">
        <v>2932</v>
      </c>
      <c r="D14" s="5" t="s">
        <v>2933</v>
      </c>
      <c r="E14" s="5" t="s">
        <v>509</v>
      </c>
      <c r="F14" s="5" t="s">
        <v>2816</v>
      </c>
      <c r="G14" s="5"/>
    </row>
    <row r="15" customFormat="false" ht="22.35" hidden="false" customHeight="false" outlineLevel="0" collapsed="false">
      <c r="A15" s="9" t="s">
        <v>2913</v>
      </c>
      <c r="B15" s="9" t="s">
        <v>2857</v>
      </c>
      <c r="C15" s="10" t="s">
        <v>3013</v>
      </c>
      <c r="D15" s="9" t="s">
        <v>3014</v>
      </c>
      <c r="E15" s="9" t="s">
        <v>509</v>
      </c>
      <c r="F15" s="9" t="s">
        <v>2816</v>
      </c>
      <c r="G15" s="9" t="s">
        <v>3015</v>
      </c>
    </row>
    <row r="16" customFormat="false" ht="15" hidden="false" customHeight="false" outlineLevel="0" collapsed="false">
      <c r="A16" s="9" t="s">
        <v>2913</v>
      </c>
      <c r="B16" s="9" t="s">
        <v>2818</v>
      </c>
      <c r="C16" s="10" t="s">
        <v>2937</v>
      </c>
      <c r="D16" s="9" t="s">
        <v>2938</v>
      </c>
      <c r="E16" s="9" t="s">
        <v>509</v>
      </c>
      <c r="F16" s="9" t="s">
        <v>2816</v>
      </c>
      <c r="G16" s="9" t="s">
        <v>2939</v>
      </c>
    </row>
    <row r="17" customFormat="false" ht="15" hidden="false" customHeight="false" outlineLevel="0" collapsed="false">
      <c r="A17" s="9" t="s">
        <v>2913</v>
      </c>
      <c r="B17" s="9" t="s">
        <v>2875</v>
      </c>
      <c r="C17" s="10" t="s">
        <v>2911</v>
      </c>
      <c r="D17" s="9" t="s">
        <v>2912</v>
      </c>
      <c r="E17" s="9" t="s">
        <v>509</v>
      </c>
      <c r="F17" s="9" t="s">
        <v>2816</v>
      </c>
      <c r="G17" s="9" t="s">
        <v>2895</v>
      </c>
    </row>
    <row r="18" customFormat="false" ht="15" hidden="false" customHeight="false" outlineLevel="0" collapsed="false">
      <c r="A18" s="5" t="s">
        <v>2913</v>
      </c>
      <c r="B18" s="5" t="s">
        <v>2868</v>
      </c>
      <c r="C18" s="6" t="s">
        <v>3008</v>
      </c>
      <c r="D18" s="5" t="s">
        <v>3009</v>
      </c>
      <c r="E18" s="5" t="s">
        <v>509</v>
      </c>
      <c r="F18" s="5" t="s">
        <v>2816</v>
      </c>
      <c r="G18" s="5"/>
    </row>
    <row r="19" customFormat="false" ht="15" hidden="false" customHeight="false" outlineLevel="0" collapsed="false">
      <c r="A19" s="5" t="s">
        <v>2907</v>
      </c>
      <c r="B19" s="5" t="s">
        <v>2827</v>
      </c>
      <c r="C19" s="6" t="s">
        <v>2978</v>
      </c>
      <c r="D19" s="5" t="s">
        <v>2979</v>
      </c>
      <c r="E19" s="5" t="s">
        <v>509</v>
      </c>
      <c r="F19" s="5" t="s">
        <v>2816</v>
      </c>
      <c r="G19" s="5"/>
    </row>
    <row r="20" customFormat="false" ht="15" hidden="false" customHeight="false" outlineLevel="0" collapsed="false">
      <c r="A20" s="5" t="s">
        <v>2907</v>
      </c>
      <c r="B20" s="5" t="s">
        <v>2833</v>
      </c>
      <c r="C20" s="6" t="s">
        <v>2983</v>
      </c>
      <c r="D20" s="5" t="s">
        <v>2984</v>
      </c>
      <c r="E20" s="5" t="s">
        <v>509</v>
      </c>
      <c r="F20" s="5" t="s">
        <v>2816</v>
      </c>
      <c r="G20" s="5"/>
    </row>
    <row r="21" customFormat="false" ht="15" hidden="false" customHeight="false" outlineLevel="0" collapsed="false">
      <c r="A21" s="5" t="s">
        <v>2907</v>
      </c>
      <c r="B21" s="5" t="s">
        <v>2839</v>
      </c>
      <c r="C21" s="6" t="s">
        <v>2988</v>
      </c>
      <c r="D21" s="5" t="s">
        <v>2989</v>
      </c>
      <c r="E21" s="5" t="s">
        <v>509</v>
      </c>
      <c r="F21" s="5" t="s">
        <v>2816</v>
      </c>
      <c r="G21" s="5"/>
    </row>
    <row r="22" customFormat="false" ht="15" hidden="false" customHeight="false" outlineLevel="0" collapsed="false">
      <c r="A22" s="5" t="s">
        <v>2907</v>
      </c>
      <c r="B22" s="5" t="s">
        <v>2845</v>
      </c>
      <c r="C22" s="6" t="s">
        <v>2993</v>
      </c>
      <c r="D22" s="5" t="s">
        <v>2994</v>
      </c>
      <c r="E22" s="5" t="s">
        <v>509</v>
      </c>
      <c r="F22" s="5" t="s">
        <v>2816</v>
      </c>
      <c r="G22" s="5"/>
    </row>
    <row r="23" customFormat="false" ht="15" hidden="false" customHeight="false" outlineLevel="0" collapsed="false">
      <c r="A23" s="5" t="s">
        <v>2907</v>
      </c>
      <c r="B23" s="5" t="s">
        <v>2851</v>
      </c>
      <c r="C23" s="6" t="s">
        <v>2998</v>
      </c>
      <c r="D23" s="5" t="s">
        <v>2999</v>
      </c>
      <c r="E23" s="5" t="s">
        <v>509</v>
      </c>
      <c r="F23" s="5" t="s">
        <v>2816</v>
      </c>
      <c r="G23" s="5"/>
    </row>
    <row r="24" customFormat="false" ht="15" hidden="false" customHeight="false" outlineLevel="0" collapsed="false">
      <c r="A24" s="5" t="s">
        <v>2907</v>
      </c>
      <c r="B24" s="5" t="s">
        <v>2857</v>
      </c>
      <c r="C24" s="6" t="s">
        <v>3003</v>
      </c>
      <c r="D24" s="5" t="s">
        <v>3004</v>
      </c>
      <c r="E24" s="5" t="s">
        <v>509</v>
      </c>
      <c r="F24" s="5" t="s">
        <v>2816</v>
      </c>
      <c r="G24" s="5"/>
    </row>
    <row r="25" customFormat="false" ht="15" hidden="false" customHeight="false" outlineLevel="0" collapsed="false">
      <c r="A25" s="9" t="s">
        <v>2907</v>
      </c>
      <c r="B25" s="9" t="s">
        <v>2818</v>
      </c>
      <c r="C25" s="10" t="s">
        <v>2973</v>
      </c>
      <c r="D25" s="9" t="s">
        <v>2974</v>
      </c>
      <c r="E25" s="9" t="s">
        <v>509</v>
      </c>
      <c r="F25" s="9" t="s">
        <v>2816</v>
      </c>
      <c r="G25" s="9" t="s">
        <v>2939</v>
      </c>
    </row>
    <row r="26" customFormat="false" ht="15" hidden="false" customHeight="false" outlineLevel="0" collapsed="false">
      <c r="A26" s="9" t="s">
        <v>2907</v>
      </c>
      <c r="B26" s="9" t="s">
        <v>2875</v>
      </c>
      <c r="C26" s="10" t="s">
        <v>2905</v>
      </c>
      <c r="D26" s="9" t="s">
        <v>2906</v>
      </c>
      <c r="E26" s="9" t="s">
        <v>509</v>
      </c>
      <c r="F26" s="9" t="s">
        <v>2816</v>
      </c>
      <c r="G26" s="9" t="s">
        <v>2895</v>
      </c>
    </row>
    <row r="27" customFormat="false" ht="15" hidden="false" customHeight="false" outlineLevel="0" collapsed="false">
      <c r="A27" s="5" t="s">
        <v>2907</v>
      </c>
      <c r="B27" s="5" t="s">
        <v>2868</v>
      </c>
      <c r="C27" s="6" t="s">
        <v>3055</v>
      </c>
      <c r="D27" s="5" t="s">
        <v>3056</v>
      </c>
      <c r="E27" s="5" t="s">
        <v>509</v>
      </c>
      <c r="F27" s="5" t="s">
        <v>2816</v>
      </c>
      <c r="G27" s="5"/>
    </row>
    <row r="28" customFormat="false" ht="15" hidden="false" customHeight="false" outlineLevel="0" collapsed="false">
      <c r="A28" s="9" t="s">
        <v>3021</v>
      </c>
      <c r="B28" s="9" t="s">
        <v>2818</v>
      </c>
      <c r="C28" s="10" t="s">
        <v>3019</v>
      </c>
      <c r="D28" s="9" t="s">
        <v>3020</v>
      </c>
      <c r="E28" s="9" t="s">
        <v>509</v>
      </c>
      <c r="F28" s="9" t="s">
        <v>2816</v>
      </c>
      <c r="G28" s="9" t="s">
        <v>2819</v>
      </c>
    </row>
    <row r="29" customFormat="false" ht="23.85" hidden="false" customHeight="false" outlineLevel="0" collapsed="false">
      <c r="A29" s="5" t="s">
        <v>3026</v>
      </c>
      <c r="B29" s="5" t="s">
        <v>2827</v>
      </c>
      <c r="C29" s="6" t="s">
        <v>3024</v>
      </c>
      <c r="D29" s="5" t="s">
        <v>3025</v>
      </c>
      <c r="E29" s="5" t="s">
        <v>509</v>
      </c>
      <c r="F29" s="5" t="s">
        <v>2816</v>
      </c>
      <c r="G29" s="5"/>
    </row>
    <row r="30" customFormat="false" ht="23.85" hidden="false" customHeight="false" outlineLevel="0" collapsed="false">
      <c r="A30" s="5" t="s">
        <v>3026</v>
      </c>
      <c r="B30" s="5" t="s">
        <v>2833</v>
      </c>
      <c r="C30" s="6" t="s">
        <v>3030</v>
      </c>
      <c r="D30" s="5" t="s">
        <v>3031</v>
      </c>
      <c r="E30" s="5" t="s">
        <v>509</v>
      </c>
      <c r="F30" s="5" t="s">
        <v>2816</v>
      </c>
      <c r="G30" s="5"/>
    </row>
    <row r="31" customFormat="false" ht="23.85" hidden="false" customHeight="false" outlineLevel="0" collapsed="false">
      <c r="A31" s="5" t="s">
        <v>3026</v>
      </c>
      <c r="B31" s="5" t="s">
        <v>2839</v>
      </c>
      <c r="C31" s="6" t="s">
        <v>3035</v>
      </c>
      <c r="D31" s="5" t="s">
        <v>3036</v>
      </c>
      <c r="E31" s="5" t="s">
        <v>509</v>
      </c>
      <c r="F31" s="5" t="s">
        <v>2816</v>
      </c>
      <c r="G31" s="5"/>
    </row>
    <row r="32" customFormat="false" ht="23.85" hidden="false" customHeight="false" outlineLevel="0" collapsed="false">
      <c r="A32" s="5" t="s">
        <v>3026</v>
      </c>
      <c r="B32" s="5" t="s">
        <v>2845</v>
      </c>
      <c r="C32" s="6" t="s">
        <v>3040</v>
      </c>
      <c r="D32" s="5" t="s">
        <v>3041</v>
      </c>
      <c r="E32" s="5" t="s">
        <v>509</v>
      </c>
      <c r="F32" s="5" t="s">
        <v>2816</v>
      </c>
      <c r="G32" s="5"/>
    </row>
    <row r="33" customFormat="false" ht="23.85" hidden="false" customHeight="false" outlineLevel="0" collapsed="false">
      <c r="A33" s="5" t="s">
        <v>3026</v>
      </c>
      <c r="B33" s="5" t="s">
        <v>2851</v>
      </c>
      <c r="C33" s="6" t="s">
        <v>3045</v>
      </c>
      <c r="D33" s="5" t="s">
        <v>3046</v>
      </c>
      <c r="E33" s="5" t="s">
        <v>509</v>
      </c>
      <c r="F33" s="5" t="s">
        <v>2816</v>
      </c>
      <c r="G33" s="5"/>
    </row>
    <row r="34" customFormat="false" ht="23.85" hidden="false" customHeight="false" outlineLevel="0" collapsed="false">
      <c r="A34" s="5" t="s">
        <v>3026</v>
      </c>
      <c r="B34" s="5" t="s">
        <v>2857</v>
      </c>
      <c r="C34" s="6" t="s">
        <v>3050</v>
      </c>
      <c r="D34" s="5" t="s">
        <v>3051</v>
      </c>
      <c r="E34" s="5" t="s">
        <v>509</v>
      </c>
      <c r="F34" s="5" t="s">
        <v>2816</v>
      </c>
      <c r="G34" s="5"/>
    </row>
    <row r="35" customFormat="false" ht="15" hidden="false" customHeight="false" outlineLevel="0" collapsed="false">
      <c r="A35" s="5" t="s">
        <v>2882</v>
      </c>
      <c r="B35" s="5" t="s">
        <v>2827</v>
      </c>
      <c r="C35" s="6" t="s">
        <v>3071</v>
      </c>
      <c r="D35" s="5" t="s">
        <v>3072</v>
      </c>
      <c r="E35" s="5" t="s">
        <v>509</v>
      </c>
      <c r="F35" s="5" t="s">
        <v>2816</v>
      </c>
      <c r="G35" s="5"/>
    </row>
    <row r="36" customFormat="false" ht="15" hidden="false" customHeight="false" outlineLevel="0" collapsed="false">
      <c r="A36" s="5" t="s">
        <v>2882</v>
      </c>
      <c r="B36" s="5" t="s">
        <v>2833</v>
      </c>
      <c r="C36" s="6" t="s">
        <v>3076</v>
      </c>
      <c r="D36" s="5" t="s">
        <v>3077</v>
      </c>
      <c r="E36" s="5" t="s">
        <v>509</v>
      </c>
      <c r="F36" s="5" t="s">
        <v>2816</v>
      </c>
      <c r="G36" s="5"/>
    </row>
    <row r="37" customFormat="false" ht="15" hidden="false" customHeight="false" outlineLevel="0" collapsed="false">
      <c r="A37" s="5" t="s">
        <v>2882</v>
      </c>
      <c r="B37" s="5" t="s">
        <v>2839</v>
      </c>
      <c r="C37" s="6" t="s">
        <v>3081</v>
      </c>
      <c r="D37" s="5" t="s">
        <v>3082</v>
      </c>
      <c r="E37" s="5" t="s">
        <v>509</v>
      </c>
      <c r="F37" s="5" t="s">
        <v>2816</v>
      </c>
      <c r="G37" s="5"/>
    </row>
    <row r="38" customFormat="false" ht="15" hidden="false" customHeight="false" outlineLevel="0" collapsed="false">
      <c r="A38" s="5" t="s">
        <v>2882</v>
      </c>
      <c r="B38" s="5" t="s">
        <v>2845</v>
      </c>
      <c r="C38" s="6" t="s">
        <v>3086</v>
      </c>
      <c r="D38" s="5" t="s">
        <v>3087</v>
      </c>
      <c r="E38" s="5" t="s">
        <v>509</v>
      </c>
      <c r="F38" s="5" t="s">
        <v>2816</v>
      </c>
      <c r="G38" s="5"/>
    </row>
    <row r="39" customFormat="false" ht="15" hidden="false" customHeight="false" outlineLevel="0" collapsed="false">
      <c r="A39" s="5" t="s">
        <v>2882</v>
      </c>
      <c r="B39" s="5" t="s">
        <v>2851</v>
      </c>
      <c r="C39" s="6" t="s">
        <v>3091</v>
      </c>
      <c r="D39" s="5" t="s">
        <v>3092</v>
      </c>
      <c r="E39" s="5" t="s">
        <v>509</v>
      </c>
      <c r="F39" s="5" t="s">
        <v>2816</v>
      </c>
      <c r="G39" s="5"/>
    </row>
    <row r="40" customFormat="false" ht="15" hidden="false" customHeight="false" outlineLevel="0" collapsed="false">
      <c r="A40" s="5" t="s">
        <v>2882</v>
      </c>
      <c r="B40" s="5" t="s">
        <v>2857</v>
      </c>
      <c r="C40" s="6" t="s">
        <v>3096</v>
      </c>
      <c r="D40" s="5" t="s">
        <v>3097</v>
      </c>
      <c r="E40" s="5" t="s">
        <v>509</v>
      </c>
      <c r="F40" s="5" t="s">
        <v>2816</v>
      </c>
      <c r="G40" s="5"/>
    </row>
    <row r="41" customFormat="false" ht="15" hidden="false" customHeight="false" outlineLevel="0" collapsed="false">
      <c r="A41" s="5" t="s">
        <v>2882</v>
      </c>
      <c r="B41" s="5" t="s">
        <v>2818</v>
      </c>
      <c r="C41" s="6" t="s">
        <v>3060</v>
      </c>
      <c r="D41" s="5" t="s">
        <v>3061</v>
      </c>
      <c r="E41" s="5" t="s">
        <v>509</v>
      </c>
      <c r="F41" s="5" t="s">
        <v>2816</v>
      </c>
      <c r="G41" s="5"/>
    </row>
    <row r="42" customFormat="false" ht="15" hidden="false" customHeight="false" outlineLevel="0" collapsed="false">
      <c r="A42" s="9" t="s">
        <v>2882</v>
      </c>
      <c r="B42" s="9" t="s">
        <v>2875</v>
      </c>
      <c r="C42" s="10" t="s">
        <v>2880</v>
      </c>
      <c r="D42" s="9" t="s">
        <v>2881</v>
      </c>
      <c r="E42" s="9" t="s">
        <v>509</v>
      </c>
      <c r="F42" s="9" t="s">
        <v>2816</v>
      </c>
      <c r="G42" s="9" t="s">
        <v>2883</v>
      </c>
    </row>
    <row r="43" customFormat="false" ht="15" hidden="false" customHeight="false" outlineLevel="0" collapsed="false">
      <c r="A43" s="5" t="s">
        <v>2882</v>
      </c>
      <c r="B43" s="5" t="s">
        <v>2868</v>
      </c>
      <c r="C43" s="6" t="s">
        <v>3066</v>
      </c>
      <c r="D43" s="5" t="s">
        <v>3067</v>
      </c>
      <c r="E43" s="5" t="s">
        <v>509</v>
      </c>
      <c r="F43" s="5" t="s">
        <v>2816</v>
      </c>
      <c r="G43" s="5"/>
    </row>
    <row r="44" customFormat="false" ht="15" hidden="false" customHeight="false" outlineLevel="0" collapsed="false">
      <c r="A44" s="5" t="s">
        <v>2901</v>
      </c>
      <c r="B44" s="5" t="s">
        <v>2827</v>
      </c>
      <c r="C44" s="6" t="s">
        <v>3101</v>
      </c>
      <c r="D44" s="5" t="s">
        <v>3102</v>
      </c>
      <c r="E44" s="5" t="s">
        <v>509</v>
      </c>
      <c r="F44" s="5" t="s">
        <v>2816</v>
      </c>
      <c r="G44" s="5"/>
    </row>
    <row r="45" customFormat="false" ht="15" hidden="false" customHeight="false" outlineLevel="0" collapsed="false">
      <c r="A45" s="5" t="s">
        <v>2901</v>
      </c>
      <c r="B45" s="5" t="s">
        <v>2833</v>
      </c>
      <c r="C45" s="6" t="s">
        <v>3106</v>
      </c>
      <c r="D45" s="5" t="s">
        <v>3107</v>
      </c>
      <c r="E45" s="5" t="s">
        <v>509</v>
      </c>
      <c r="F45" s="5" t="s">
        <v>2816</v>
      </c>
      <c r="G45" s="5"/>
    </row>
    <row r="46" customFormat="false" ht="15" hidden="false" customHeight="false" outlineLevel="0" collapsed="false">
      <c r="A46" s="5" t="s">
        <v>2901</v>
      </c>
      <c r="B46" s="5" t="s">
        <v>2839</v>
      </c>
      <c r="C46" s="6" t="s">
        <v>3111</v>
      </c>
      <c r="D46" s="5" t="s">
        <v>3112</v>
      </c>
      <c r="E46" s="5" t="s">
        <v>509</v>
      </c>
      <c r="F46" s="5" t="s">
        <v>2816</v>
      </c>
      <c r="G46" s="5"/>
    </row>
    <row r="47" customFormat="false" ht="15" hidden="false" customHeight="false" outlineLevel="0" collapsed="false">
      <c r="A47" s="5" t="s">
        <v>2901</v>
      </c>
      <c r="B47" s="5" t="s">
        <v>2845</v>
      </c>
      <c r="C47" s="6" t="s">
        <v>3116</v>
      </c>
      <c r="D47" s="5" t="s">
        <v>3117</v>
      </c>
      <c r="E47" s="5" t="s">
        <v>509</v>
      </c>
      <c r="F47" s="5" t="s">
        <v>2816</v>
      </c>
      <c r="G47" s="5"/>
    </row>
    <row r="48" customFormat="false" ht="15" hidden="false" customHeight="false" outlineLevel="0" collapsed="false">
      <c r="A48" s="5" t="s">
        <v>2901</v>
      </c>
      <c r="B48" s="5" t="s">
        <v>2851</v>
      </c>
      <c r="C48" s="6" t="s">
        <v>3121</v>
      </c>
      <c r="D48" s="5" t="s">
        <v>3122</v>
      </c>
      <c r="E48" s="5" t="s">
        <v>509</v>
      </c>
      <c r="F48" s="5" t="s">
        <v>2816</v>
      </c>
      <c r="G48" s="5"/>
    </row>
    <row r="49" customFormat="false" ht="15" hidden="false" customHeight="false" outlineLevel="0" collapsed="false">
      <c r="A49" s="5" t="s">
        <v>2901</v>
      </c>
      <c r="B49" s="5" t="s">
        <v>2857</v>
      </c>
      <c r="C49" s="6" t="s">
        <v>3126</v>
      </c>
      <c r="D49" s="5" t="s">
        <v>3127</v>
      </c>
      <c r="E49" s="5" t="s">
        <v>509</v>
      </c>
      <c r="F49" s="5" t="s">
        <v>2816</v>
      </c>
      <c r="G49" s="5"/>
    </row>
    <row r="50" customFormat="false" ht="15" hidden="false" customHeight="false" outlineLevel="0" collapsed="false">
      <c r="A50" s="5" t="s">
        <v>2901</v>
      </c>
      <c r="B50" s="5" t="s">
        <v>2818</v>
      </c>
      <c r="C50" s="6" t="s">
        <v>3131</v>
      </c>
      <c r="D50" s="5" t="s">
        <v>3132</v>
      </c>
      <c r="E50" s="5" t="s">
        <v>509</v>
      </c>
      <c r="F50" s="5" t="s">
        <v>2816</v>
      </c>
      <c r="G50" s="5"/>
    </row>
    <row r="51" customFormat="false" ht="15" hidden="false" customHeight="false" outlineLevel="0" collapsed="false">
      <c r="A51" s="9" t="s">
        <v>2901</v>
      </c>
      <c r="B51" s="9" t="s">
        <v>2875</v>
      </c>
      <c r="C51" s="10" t="s">
        <v>2899</v>
      </c>
      <c r="D51" s="9" t="s">
        <v>2900</v>
      </c>
      <c r="E51" s="9" t="s">
        <v>509</v>
      </c>
      <c r="F51" s="9" t="s">
        <v>2816</v>
      </c>
      <c r="G51" s="9" t="s">
        <v>2876</v>
      </c>
    </row>
    <row r="52" customFormat="false" ht="15" hidden="false" customHeight="false" outlineLevel="0" collapsed="false">
      <c r="A52" s="9" t="s">
        <v>2901</v>
      </c>
      <c r="B52" s="9" t="s">
        <v>2875</v>
      </c>
      <c r="C52" s="10" t="s">
        <v>3181</v>
      </c>
      <c r="D52" s="9" t="s">
        <v>3182</v>
      </c>
      <c r="E52" s="9" t="s">
        <v>509</v>
      </c>
      <c r="F52" s="9" t="s">
        <v>3184</v>
      </c>
      <c r="G52" s="9" t="s">
        <v>2876</v>
      </c>
    </row>
    <row r="53" customFormat="false" ht="15" hidden="false" customHeight="false" outlineLevel="0" collapsed="false">
      <c r="A53" s="5" t="s">
        <v>2901</v>
      </c>
      <c r="B53" s="5" t="s">
        <v>2868</v>
      </c>
      <c r="C53" s="6" t="s">
        <v>3136</v>
      </c>
      <c r="D53" s="5" t="s">
        <v>3137</v>
      </c>
      <c r="E53" s="5" t="s">
        <v>509</v>
      </c>
      <c r="F53" s="5" t="s">
        <v>2816</v>
      </c>
      <c r="G53" s="5"/>
    </row>
    <row r="54" customFormat="false" ht="15" hidden="false" customHeight="false" outlineLevel="0" collapsed="false">
      <c r="A54" s="5" t="s">
        <v>2874</v>
      </c>
      <c r="B54" s="5" t="s">
        <v>2833</v>
      </c>
      <c r="C54" s="6" t="s">
        <v>3146</v>
      </c>
      <c r="D54" s="5" t="s">
        <v>3147</v>
      </c>
      <c r="E54" s="5" t="s">
        <v>509</v>
      </c>
      <c r="F54" s="5" t="s">
        <v>2816</v>
      </c>
      <c r="G54" s="5"/>
    </row>
    <row r="55" customFormat="false" ht="15" hidden="false" customHeight="false" outlineLevel="0" collapsed="false">
      <c r="A55" s="5" t="s">
        <v>2874</v>
      </c>
      <c r="B55" s="5" t="s">
        <v>2839</v>
      </c>
      <c r="C55" s="6" t="s">
        <v>3151</v>
      </c>
      <c r="D55" s="5" t="s">
        <v>3152</v>
      </c>
      <c r="E55" s="5" t="s">
        <v>509</v>
      </c>
      <c r="F55" s="5" t="s">
        <v>2816</v>
      </c>
      <c r="G55" s="5"/>
    </row>
    <row r="56" customFormat="false" ht="15" hidden="false" customHeight="false" outlineLevel="0" collapsed="false">
      <c r="A56" s="5" t="s">
        <v>2874</v>
      </c>
      <c r="B56" s="5" t="s">
        <v>2845</v>
      </c>
      <c r="C56" s="6" t="s">
        <v>3156</v>
      </c>
      <c r="D56" s="5" t="s">
        <v>3157</v>
      </c>
      <c r="E56" s="5" t="s">
        <v>509</v>
      </c>
      <c r="F56" s="5" t="s">
        <v>2816</v>
      </c>
      <c r="G56" s="5"/>
    </row>
    <row r="57" customFormat="false" ht="15" hidden="false" customHeight="false" outlineLevel="0" collapsed="false">
      <c r="A57" s="5" t="s">
        <v>2874</v>
      </c>
      <c r="B57" s="5" t="s">
        <v>2851</v>
      </c>
      <c r="C57" s="6" t="s">
        <v>3161</v>
      </c>
      <c r="D57" s="5" t="s">
        <v>3162</v>
      </c>
      <c r="E57" s="5" t="s">
        <v>509</v>
      </c>
      <c r="F57" s="5" t="s">
        <v>2816</v>
      </c>
      <c r="G57" s="5"/>
    </row>
    <row r="58" customFormat="false" ht="15" hidden="false" customHeight="false" outlineLevel="0" collapsed="false">
      <c r="A58" s="5" t="s">
        <v>2874</v>
      </c>
      <c r="B58" s="5" t="s">
        <v>2857</v>
      </c>
      <c r="C58" s="6" t="s">
        <v>3166</v>
      </c>
      <c r="D58" s="5" t="s">
        <v>3167</v>
      </c>
      <c r="E58" s="5" t="s">
        <v>509</v>
      </c>
      <c r="F58" s="5" t="s">
        <v>2816</v>
      </c>
      <c r="G58" s="5"/>
    </row>
    <row r="59" customFormat="false" ht="15" hidden="false" customHeight="false" outlineLevel="0" collapsed="false">
      <c r="A59" s="9" t="s">
        <v>2874</v>
      </c>
      <c r="B59" s="9" t="s">
        <v>2818</v>
      </c>
      <c r="C59" s="10" t="s">
        <v>3141</v>
      </c>
      <c r="D59" s="9" t="s">
        <v>3142</v>
      </c>
      <c r="E59" s="9" t="s">
        <v>509</v>
      </c>
      <c r="F59" s="9" t="s">
        <v>2816</v>
      </c>
      <c r="G59" s="9" t="s">
        <v>3143</v>
      </c>
    </row>
    <row r="60" customFormat="false" ht="15" hidden="false" customHeight="false" outlineLevel="0" collapsed="false">
      <c r="A60" s="9" t="s">
        <v>2874</v>
      </c>
      <c r="B60" s="9" t="s">
        <v>2875</v>
      </c>
      <c r="C60" s="10" t="s">
        <v>2872</v>
      </c>
      <c r="D60" s="9" t="s">
        <v>2873</v>
      </c>
      <c r="E60" s="9" t="s">
        <v>509</v>
      </c>
      <c r="F60" s="9" t="s">
        <v>2816</v>
      </c>
      <c r="G60" s="9" t="s">
        <v>2876</v>
      </c>
    </row>
    <row r="61" customFormat="false" ht="15" hidden="false" customHeight="false" outlineLevel="0" collapsed="false">
      <c r="A61" s="5" t="s">
        <v>2874</v>
      </c>
      <c r="B61" s="5" t="s">
        <v>2868</v>
      </c>
      <c r="C61" s="6" t="s">
        <v>3171</v>
      </c>
      <c r="D61" s="5" t="s">
        <v>3172</v>
      </c>
      <c r="E61" s="5" t="s">
        <v>509</v>
      </c>
      <c r="F61" s="5" t="s">
        <v>2816</v>
      </c>
      <c r="G61" s="5"/>
    </row>
    <row r="62" customFormat="false" ht="15" hidden="false" customHeight="false" outlineLevel="0" collapsed="false">
      <c r="A62" s="9" t="s">
        <v>2817</v>
      </c>
      <c r="B62" s="9" t="s">
        <v>2818</v>
      </c>
      <c r="C62" s="10" t="s">
        <v>2813</v>
      </c>
      <c r="D62" s="9" t="s">
        <v>2814</v>
      </c>
      <c r="E62" s="9" t="s">
        <v>509</v>
      </c>
      <c r="F62" s="9" t="s">
        <v>2816</v>
      </c>
      <c r="G62" s="9" t="s">
        <v>2819</v>
      </c>
    </row>
    <row r="63" customFormat="false" ht="15" hidden="false" customHeight="false" outlineLevel="0" collapsed="false">
      <c r="A63" s="9" t="s">
        <v>2889</v>
      </c>
      <c r="B63" s="9" t="s">
        <v>2839</v>
      </c>
      <c r="C63" s="10" t="s">
        <v>2943</v>
      </c>
      <c r="D63" s="9" t="s">
        <v>2944</v>
      </c>
      <c r="E63" s="9" t="s">
        <v>509</v>
      </c>
      <c r="F63" s="9" t="s">
        <v>2816</v>
      </c>
      <c r="G63" s="9" t="s">
        <v>2945</v>
      </c>
    </row>
    <row r="64" customFormat="false" ht="15" hidden="false" customHeight="false" outlineLevel="0" collapsed="false">
      <c r="A64" s="9" t="s">
        <v>2889</v>
      </c>
      <c r="B64" s="9" t="s">
        <v>2845</v>
      </c>
      <c r="C64" s="10" t="s">
        <v>2949</v>
      </c>
      <c r="D64" s="9" t="s">
        <v>2950</v>
      </c>
      <c r="E64" s="9" t="s">
        <v>509</v>
      </c>
      <c r="F64" s="9" t="s">
        <v>2816</v>
      </c>
      <c r="G64" s="9" t="s">
        <v>2951</v>
      </c>
    </row>
    <row r="65" customFormat="false" ht="15" hidden="false" customHeight="false" outlineLevel="0" collapsed="false">
      <c r="A65" s="9" t="s">
        <v>2889</v>
      </c>
      <c r="B65" s="9" t="s">
        <v>2851</v>
      </c>
      <c r="C65" s="10" t="s">
        <v>2961</v>
      </c>
      <c r="D65" s="9" t="s">
        <v>2962</v>
      </c>
      <c r="E65" s="9" t="s">
        <v>509</v>
      </c>
      <c r="F65" s="9" t="s">
        <v>2816</v>
      </c>
      <c r="G65" s="9" t="s">
        <v>2963</v>
      </c>
    </row>
    <row r="66" customFormat="false" ht="15" hidden="false" customHeight="false" outlineLevel="0" collapsed="false">
      <c r="A66" s="9" t="s">
        <v>2889</v>
      </c>
      <c r="B66" s="9" t="s">
        <v>2857</v>
      </c>
      <c r="C66" s="10" t="s">
        <v>2955</v>
      </c>
      <c r="D66" s="9" t="s">
        <v>2956</v>
      </c>
      <c r="E66" s="9" t="s">
        <v>509</v>
      </c>
      <c r="F66" s="9" t="s">
        <v>2816</v>
      </c>
      <c r="G66" s="9" t="s">
        <v>2957</v>
      </c>
    </row>
    <row r="67" customFormat="false" ht="15" hidden="false" customHeight="false" outlineLevel="0" collapsed="false">
      <c r="A67" s="9" t="s">
        <v>2889</v>
      </c>
      <c r="B67" s="9" t="s">
        <v>2818</v>
      </c>
      <c r="C67" s="10" t="s">
        <v>2967</v>
      </c>
      <c r="D67" s="9" t="s">
        <v>2968</v>
      </c>
      <c r="E67" s="9" t="s">
        <v>509</v>
      </c>
      <c r="F67" s="9" t="s">
        <v>2816</v>
      </c>
      <c r="G67" s="9" t="s">
        <v>2969</v>
      </c>
    </row>
    <row r="68" customFormat="false" ht="15" hidden="false" customHeight="false" outlineLevel="0" collapsed="false">
      <c r="A68" s="9" t="s">
        <v>2889</v>
      </c>
      <c r="B68" s="9" t="s">
        <v>2875</v>
      </c>
      <c r="C68" s="10" t="s">
        <v>2887</v>
      </c>
      <c r="D68" s="9" t="s">
        <v>2888</v>
      </c>
      <c r="E68" s="9" t="s">
        <v>509</v>
      </c>
      <c r="F68" s="9" t="s">
        <v>2816</v>
      </c>
      <c r="G68" s="9" t="s">
        <v>2883</v>
      </c>
    </row>
    <row r="69" customFormat="false" ht="15" hidden="false" customHeight="false" outlineLevel="0" collapsed="false">
      <c r="A69" s="5" t="s">
        <v>2889</v>
      </c>
      <c r="B69" s="5" t="s">
        <v>2868</v>
      </c>
      <c r="C69" s="6" t="s">
        <v>3176</v>
      </c>
      <c r="D69" s="5" t="s">
        <v>3177</v>
      </c>
      <c r="E69" s="5" t="s">
        <v>509</v>
      </c>
      <c r="F69" s="5" t="s">
        <v>2816</v>
      </c>
      <c r="G69" s="5"/>
    </row>
  </sheetData>
  <autoFilter ref="A1:G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34"/>
    <col collapsed="false" customWidth="true" hidden="false" outlineLevel="0" max="6" min="6" style="0" width="22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4" t="s">
        <v>23</v>
      </c>
      <c r="B1" s="4" t="s">
        <v>24</v>
      </c>
      <c r="C1" s="4" t="s">
        <v>414</v>
      </c>
      <c r="D1" s="4" t="s">
        <v>3208</v>
      </c>
      <c r="E1" s="4" t="s">
        <v>3209</v>
      </c>
      <c r="F1" s="4" t="s">
        <v>3210</v>
      </c>
      <c r="G1" s="4" t="s">
        <v>3211</v>
      </c>
    </row>
    <row r="2" customFormat="false" ht="15" hidden="false" customHeight="false" outlineLevel="0" collapsed="false">
      <c r="A2" s="5" t="s">
        <v>34</v>
      </c>
      <c r="B2" s="5" t="s">
        <v>75</v>
      </c>
      <c r="C2" s="5" t="s">
        <v>1701</v>
      </c>
      <c r="D2" s="6" t="s">
        <v>3212</v>
      </c>
      <c r="E2" s="5" t="s">
        <v>3212</v>
      </c>
      <c r="F2" s="5"/>
      <c r="G2" s="6" t="s">
        <v>3213</v>
      </c>
    </row>
    <row r="3" customFormat="false" ht="15" hidden="false" customHeight="false" outlineLevel="0" collapsed="false">
      <c r="A3" s="5" t="s">
        <v>34</v>
      </c>
      <c r="B3" s="5" t="s">
        <v>75</v>
      </c>
      <c r="C3" s="5" t="s">
        <v>1701</v>
      </c>
      <c r="D3" s="6" t="s">
        <v>3214</v>
      </c>
      <c r="E3" s="5" t="s">
        <v>3214</v>
      </c>
      <c r="F3" s="5"/>
      <c r="G3" s="6" t="s">
        <v>3215</v>
      </c>
    </row>
    <row r="4" customFormat="false" ht="15" hidden="false" customHeight="false" outlineLevel="0" collapsed="false">
      <c r="A4" s="5" t="s">
        <v>34</v>
      </c>
      <c r="B4" s="5" t="s">
        <v>75</v>
      </c>
      <c r="C4" s="5" t="s">
        <v>1701</v>
      </c>
      <c r="D4" s="6" t="s">
        <v>3216</v>
      </c>
      <c r="E4" s="5" t="s">
        <v>3216</v>
      </c>
      <c r="F4" s="5"/>
      <c r="G4" s="6" t="s">
        <v>3217</v>
      </c>
    </row>
    <row r="5" customFormat="false" ht="15" hidden="false" customHeight="false" outlineLevel="0" collapsed="false">
      <c r="A5" s="5" t="s">
        <v>34</v>
      </c>
      <c r="B5" s="5" t="s">
        <v>75</v>
      </c>
      <c r="C5" s="5" t="s">
        <v>1701</v>
      </c>
      <c r="D5" s="6" t="s">
        <v>3218</v>
      </c>
      <c r="E5" s="5" t="s">
        <v>3218</v>
      </c>
      <c r="F5" s="5"/>
      <c r="G5" s="6" t="s">
        <v>3219</v>
      </c>
    </row>
    <row r="6" customFormat="false" ht="15" hidden="false" customHeight="false" outlineLevel="0" collapsed="false">
      <c r="A6" s="5" t="s">
        <v>34</v>
      </c>
      <c r="B6" s="5" t="s">
        <v>75</v>
      </c>
      <c r="C6" s="5" t="s">
        <v>1701</v>
      </c>
      <c r="D6" s="6" t="s">
        <v>3220</v>
      </c>
      <c r="E6" s="5" t="s">
        <v>3220</v>
      </c>
      <c r="F6" s="5"/>
      <c r="G6" s="6" t="s">
        <v>3221</v>
      </c>
    </row>
    <row r="7" customFormat="false" ht="15" hidden="false" customHeight="false" outlineLevel="0" collapsed="false">
      <c r="A7" s="5" t="s">
        <v>34</v>
      </c>
      <c r="B7" s="5" t="s">
        <v>75</v>
      </c>
      <c r="C7" s="5" t="s">
        <v>1701</v>
      </c>
      <c r="D7" s="6" t="s">
        <v>3222</v>
      </c>
      <c r="E7" s="5" t="s">
        <v>3222</v>
      </c>
      <c r="F7" s="5"/>
      <c r="G7" s="6" t="s">
        <v>3223</v>
      </c>
    </row>
    <row r="8" customFormat="false" ht="15" hidden="false" customHeight="false" outlineLevel="0" collapsed="false">
      <c r="A8" s="5" t="s">
        <v>34</v>
      </c>
      <c r="B8" s="5" t="s">
        <v>75</v>
      </c>
      <c r="C8" s="5" t="s">
        <v>1701</v>
      </c>
      <c r="D8" s="6" t="s">
        <v>3224</v>
      </c>
      <c r="E8" s="5" t="s">
        <v>3224</v>
      </c>
      <c r="F8" s="5"/>
      <c r="G8" s="6" t="s">
        <v>3225</v>
      </c>
    </row>
    <row r="9" customFormat="false" ht="15" hidden="false" customHeight="false" outlineLevel="0" collapsed="false">
      <c r="A9" s="5" t="s">
        <v>34</v>
      </c>
      <c r="B9" s="5" t="s">
        <v>75</v>
      </c>
      <c r="C9" s="5" t="s">
        <v>1701</v>
      </c>
      <c r="D9" s="6" t="s">
        <v>3226</v>
      </c>
      <c r="E9" s="5" t="s">
        <v>3227</v>
      </c>
      <c r="F9" s="5"/>
      <c r="G9" s="6" t="s">
        <v>3228</v>
      </c>
    </row>
    <row r="10" customFormat="false" ht="15" hidden="false" customHeight="false" outlineLevel="0" collapsed="false">
      <c r="A10" s="5" t="s">
        <v>34</v>
      </c>
      <c r="B10" s="5" t="s">
        <v>75</v>
      </c>
      <c r="C10" s="5" t="s">
        <v>1701</v>
      </c>
      <c r="D10" s="6" t="s">
        <v>3229</v>
      </c>
      <c r="E10" s="5" t="s">
        <v>3229</v>
      </c>
      <c r="F10" s="5"/>
      <c r="G10" s="6" t="s">
        <v>3230</v>
      </c>
    </row>
    <row r="11" customFormat="false" ht="22.35" hidden="false" customHeight="false" outlineLevel="0" collapsed="false">
      <c r="A11" s="5" t="s">
        <v>34</v>
      </c>
      <c r="B11" s="5" t="s">
        <v>75</v>
      </c>
      <c r="C11" s="5" t="s">
        <v>1701</v>
      </c>
      <c r="D11" s="6" t="s">
        <v>3231</v>
      </c>
      <c r="E11" s="5" t="s">
        <v>3231</v>
      </c>
      <c r="F11" s="5"/>
      <c r="G11" s="6" t="s">
        <v>3232</v>
      </c>
    </row>
    <row r="12" customFormat="false" ht="22.35" hidden="false" customHeight="false" outlineLevel="0" collapsed="false">
      <c r="A12" s="5" t="s">
        <v>34</v>
      </c>
      <c r="B12" s="5" t="s">
        <v>75</v>
      </c>
      <c r="C12" s="5" t="s">
        <v>1701</v>
      </c>
      <c r="D12" s="6" t="s">
        <v>3233</v>
      </c>
      <c r="E12" s="5" t="s">
        <v>3233</v>
      </c>
      <c r="F12" s="5"/>
      <c r="G12" s="6" t="s">
        <v>3234</v>
      </c>
    </row>
    <row r="13" customFormat="false" ht="22.35" hidden="false" customHeight="false" outlineLevel="0" collapsed="false">
      <c r="A13" s="5" t="s">
        <v>34</v>
      </c>
      <c r="B13" s="5" t="s">
        <v>75</v>
      </c>
      <c r="C13" s="5" t="s">
        <v>1701</v>
      </c>
      <c r="D13" s="6" t="s">
        <v>3235</v>
      </c>
      <c r="E13" s="5" t="s">
        <v>3235</v>
      </c>
      <c r="F13" s="5"/>
      <c r="G13" s="6" t="s">
        <v>3236</v>
      </c>
    </row>
    <row r="14" customFormat="false" ht="15" hidden="false" customHeight="false" outlineLevel="0" collapsed="false">
      <c r="A14" s="5" t="s">
        <v>34</v>
      </c>
      <c r="B14" s="5" t="s">
        <v>75</v>
      </c>
      <c r="C14" s="5" t="s">
        <v>1701</v>
      </c>
      <c r="D14" s="6" t="s">
        <v>3237</v>
      </c>
      <c r="E14" s="5" t="s">
        <v>3237</v>
      </c>
      <c r="F14" s="5"/>
      <c r="G14" s="6" t="s">
        <v>3238</v>
      </c>
    </row>
    <row r="15" customFormat="false" ht="15" hidden="false" customHeight="false" outlineLevel="0" collapsed="false">
      <c r="A15" s="5" t="s">
        <v>34</v>
      </c>
      <c r="B15" s="5" t="s">
        <v>75</v>
      </c>
      <c r="C15" s="5" t="s">
        <v>1701</v>
      </c>
      <c r="D15" s="6" t="s">
        <v>3239</v>
      </c>
      <c r="E15" s="5" t="s">
        <v>3239</v>
      </c>
      <c r="F15" s="5"/>
      <c r="G15" s="6" t="s">
        <v>3240</v>
      </c>
    </row>
    <row r="16" customFormat="false" ht="15" hidden="false" customHeight="false" outlineLevel="0" collapsed="false">
      <c r="A16" s="5" t="s">
        <v>34</v>
      </c>
      <c r="B16" s="5" t="s">
        <v>75</v>
      </c>
      <c r="C16" s="5" t="s">
        <v>1701</v>
      </c>
      <c r="D16" s="6" t="s">
        <v>3241</v>
      </c>
      <c r="E16" s="5" t="s">
        <v>3241</v>
      </c>
      <c r="F16" s="5"/>
      <c r="G16" s="6" t="s">
        <v>3242</v>
      </c>
    </row>
    <row r="17" customFormat="false" ht="15" hidden="false" customHeight="false" outlineLevel="0" collapsed="false">
      <c r="A17" s="5" t="s">
        <v>34</v>
      </c>
      <c r="B17" s="5" t="s">
        <v>75</v>
      </c>
      <c r="C17" s="5" t="s">
        <v>1701</v>
      </c>
      <c r="D17" s="6" t="s">
        <v>3243</v>
      </c>
      <c r="E17" s="5" t="s">
        <v>3243</v>
      </c>
      <c r="F17" s="5"/>
      <c r="G17" s="6" t="s">
        <v>3244</v>
      </c>
    </row>
    <row r="18" customFormat="false" ht="15" hidden="false" customHeight="false" outlineLevel="0" collapsed="false">
      <c r="A18" s="5" t="s">
        <v>34</v>
      </c>
      <c r="B18" s="5" t="s">
        <v>75</v>
      </c>
      <c r="C18" s="5" t="s">
        <v>1701</v>
      </c>
      <c r="D18" s="6" t="s">
        <v>3245</v>
      </c>
      <c r="E18" s="5" t="s">
        <v>3245</v>
      </c>
      <c r="F18" s="5"/>
      <c r="G18" s="6" t="s">
        <v>3246</v>
      </c>
    </row>
    <row r="19" customFormat="false" ht="15" hidden="false" customHeight="false" outlineLevel="0" collapsed="false">
      <c r="A19" s="5" t="s">
        <v>34</v>
      </c>
      <c r="B19" s="5" t="s">
        <v>75</v>
      </c>
      <c r="C19" s="5" t="s">
        <v>1701</v>
      </c>
      <c r="D19" s="6" t="s">
        <v>3247</v>
      </c>
      <c r="E19" s="5" t="s">
        <v>3247</v>
      </c>
      <c r="F19" s="5"/>
      <c r="G19" s="6" t="s">
        <v>3248</v>
      </c>
    </row>
    <row r="20" customFormat="false" ht="15" hidden="false" customHeight="false" outlineLevel="0" collapsed="false">
      <c r="A20" s="5" t="s">
        <v>34</v>
      </c>
      <c r="B20" s="5" t="s">
        <v>75</v>
      </c>
      <c r="C20" s="5" t="s">
        <v>1701</v>
      </c>
      <c r="D20" s="6" t="s">
        <v>3249</v>
      </c>
      <c r="E20" s="5" t="s">
        <v>3249</v>
      </c>
      <c r="F20" s="5"/>
      <c r="G20" s="6" t="s">
        <v>3250</v>
      </c>
    </row>
    <row r="21" customFormat="false" ht="15" hidden="false" customHeight="false" outlineLevel="0" collapsed="false">
      <c r="A21" s="5" t="s">
        <v>34</v>
      </c>
      <c r="B21" s="5" t="s">
        <v>75</v>
      </c>
      <c r="C21" s="5" t="s">
        <v>1701</v>
      </c>
      <c r="D21" s="6" t="s">
        <v>3251</v>
      </c>
      <c r="E21" s="5" t="s">
        <v>3251</v>
      </c>
      <c r="F21" s="5"/>
      <c r="G21" s="6" t="s">
        <v>381</v>
      </c>
    </row>
    <row r="22" customFormat="false" ht="15" hidden="false" customHeight="false" outlineLevel="0" collapsed="false">
      <c r="A22" s="5" t="s">
        <v>34</v>
      </c>
      <c r="B22" s="5" t="s">
        <v>75</v>
      </c>
      <c r="C22" s="5" t="s">
        <v>1701</v>
      </c>
      <c r="D22" s="6" t="s">
        <v>3252</v>
      </c>
      <c r="E22" s="5" t="s">
        <v>3252</v>
      </c>
      <c r="F22" s="5"/>
      <c r="G22" s="6" t="s">
        <v>3253</v>
      </c>
    </row>
    <row r="23" customFormat="false" ht="15" hidden="false" customHeight="false" outlineLevel="0" collapsed="false">
      <c r="A23" s="5" t="s">
        <v>34</v>
      </c>
      <c r="B23" s="5" t="s">
        <v>75</v>
      </c>
      <c r="C23" s="5" t="s">
        <v>1701</v>
      </c>
      <c r="D23" s="6" t="s">
        <v>3254</v>
      </c>
      <c r="E23" s="5" t="s">
        <v>3254</v>
      </c>
      <c r="F23" s="5"/>
      <c r="G23" s="6" t="s">
        <v>3255</v>
      </c>
    </row>
    <row r="24" customFormat="false" ht="15" hidden="false" customHeight="false" outlineLevel="0" collapsed="false">
      <c r="A24" s="5" t="s">
        <v>34</v>
      </c>
      <c r="B24" s="5" t="s">
        <v>75</v>
      </c>
      <c r="C24" s="5" t="s">
        <v>1701</v>
      </c>
      <c r="D24" s="6" t="s">
        <v>3256</v>
      </c>
      <c r="E24" s="5" t="s">
        <v>3256</v>
      </c>
      <c r="F24" s="5"/>
      <c r="G24" s="6" t="s">
        <v>3257</v>
      </c>
    </row>
    <row r="25" customFormat="false" ht="15" hidden="false" customHeight="false" outlineLevel="0" collapsed="false">
      <c r="A25" s="5" t="s">
        <v>34</v>
      </c>
      <c r="B25" s="5" t="s">
        <v>75</v>
      </c>
      <c r="C25" s="5" t="s">
        <v>1701</v>
      </c>
      <c r="D25" s="6" t="s">
        <v>3258</v>
      </c>
      <c r="E25" s="5" t="s">
        <v>3258</v>
      </c>
      <c r="F25" s="5"/>
      <c r="G25" s="6" t="s">
        <v>3259</v>
      </c>
    </row>
    <row r="26" customFormat="false" ht="15" hidden="false" customHeight="false" outlineLevel="0" collapsed="false">
      <c r="A26" s="5" t="s">
        <v>34</v>
      </c>
      <c r="B26" s="5" t="s">
        <v>75</v>
      </c>
      <c r="C26" s="5" t="s">
        <v>1701</v>
      </c>
      <c r="D26" s="6" t="s">
        <v>3260</v>
      </c>
      <c r="E26" s="5" t="s">
        <v>3260</v>
      </c>
      <c r="F26" s="5"/>
      <c r="G26" s="6" t="s">
        <v>3261</v>
      </c>
    </row>
    <row r="27" customFormat="false" ht="15" hidden="false" customHeight="false" outlineLevel="0" collapsed="false">
      <c r="A27" s="5" t="s">
        <v>34</v>
      </c>
      <c r="B27" s="5" t="s">
        <v>75</v>
      </c>
      <c r="C27" s="5" t="s">
        <v>1701</v>
      </c>
      <c r="D27" s="6" t="s">
        <v>3262</v>
      </c>
      <c r="E27" s="5" t="s">
        <v>3262</v>
      </c>
      <c r="F27" s="5"/>
      <c r="G27" s="6" t="s">
        <v>3263</v>
      </c>
    </row>
    <row r="28" customFormat="false" ht="15" hidden="false" customHeight="false" outlineLevel="0" collapsed="false">
      <c r="A28" s="5" t="s">
        <v>34</v>
      </c>
      <c r="B28" s="5" t="s">
        <v>75</v>
      </c>
      <c r="C28" s="5" t="s">
        <v>1701</v>
      </c>
      <c r="D28" s="6" t="s">
        <v>3264</v>
      </c>
      <c r="E28" s="5" t="s">
        <v>3264</v>
      </c>
      <c r="F28" s="5"/>
      <c r="G28" s="6" t="s">
        <v>3265</v>
      </c>
    </row>
    <row r="29" customFormat="false" ht="15" hidden="false" customHeight="false" outlineLevel="0" collapsed="false">
      <c r="A29" s="5" t="s">
        <v>34</v>
      </c>
      <c r="B29" s="5" t="s">
        <v>75</v>
      </c>
      <c r="C29" s="5" t="s">
        <v>1701</v>
      </c>
      <c r="D29" s="6" t="s">
        <v>3266</v>
      </c>
      <c r="E29" s="5" t="s">
        <v>3266</v>
      </c>
      <c r="F29" s="5"/>
      <c r="G29" s="6" t="s">
        <v>3267</v>
      </c>
    </row>
    <row r="30" customFormat="false" ht="15" hidden="false" customHeight="false" outlineLevel="0" collapsed="false">
      <c r="A30" s="5" t="s">
        <v>34</v>
      </c>
      <c r="B30" s="5" t="s">
        <v>75</v>
      </c>
      <c r="C30" s="5" t="s">
        <v>1701</v>
      </c>
      <c r="D30" s="6" t="s">
        <v>3268</v>
      </c>
      <c r="E30" s="5" t="s">
        <v>3268</v>
      </c>
      <c r="F30" s="5"/>
      <c r="G30" s="6" t="s">
        <v>3269</v>
      </c>
    </row>
    <row r="31" customFormat="false" ht="22.35" hidden="false" customHeight="false" outlineLevel="0" collapsed="false">
      <c r="A31" s="5" t="s">
        <v>34</v>
      </c>
      <c r="B31" s="5" t="s">
        <v>75</v>
      </c>
      <c r="C31" s="5" t="s">
        <v>1701</v>
      </c>
      <c r="D31" s="6" t="s">
        <v>3270</v>
      </c>
      <c r="E31" s="5" t="s">
        <v>3270</v>
      </c>
      <c r="F31" s="5"/>
      <c r="G31" s="6" t="s">
        <v>3271</v>
      </c>
    </row>
    <row r="32" customFormat="false" ht="22.35" hidden="false" customHeight="false" outlineLevel="0" collapsed="false">
      <c r="A32" s="5" t="s">
        <v>34</v>
      </c>
      <c r="B32" s="5" t="s">
        <v>75</v>
      </c>
      <c r="C32" s="5" t="s">
        <v>1701</v>
      </c>
      <c r="D32" s="6" t="s">
        <v>3272</v>
      </c>
      <c r="E32" s="5" t="s">
        <v>3272</v>
      </c>
      <c r="F32" s="5"/>
      <c r="G32" s="6" t="s">
        <v>3273</v>
      </c>
    </row>
    <row r="33" customFormat="false" ht="22.35" hidden="false" customHeight="false" outlineLevel="0" collapsed="false">
      <c r="A33" s="5" t="s">
        <v>34</v>
      </c>
      <c r="B33" s="5" t="s">
        <v>75</v>
      </c>
      <c r="C33" s="5" t="s">
        <v>1701</v>
      </c>
      <c r="D33" s="6" t="s">
        <v>3274</v>
      </c>
      <c r="E33" s="5" t="s">
        <v>3274</v>
      </c>
      <c r="F33" s="5"/>
      <c r="G33" s="6" t="s">
        <v>3275</v>
      </c>
    </row>
    <row r="34" customFormat="false" ht="15" hidden="false" customHeight="false" outlineLevel="0" collapsed="false">
      <c r="A34" s="5" t="s">
        <v>34</v>
      </c>
      <c r="B34" s="5" t="s">
        <v>75</v>
      </c>
      <c r="C34" s="5" t="s">
        <v>1701</v>
      </c>
      <c r="D34" s="6" t="s">
        <v>3276</v>
      </c>
      <c r="E34" s="5" t="s">
        <v>3276</v>
      </c>
      <c r="F34" s="5"/>
      <c r="G34" s="6" t="s">
        <v>3277</v>
      </c>
    </row>
    <row r="35" customFormat="false" ht="15" hidden="false" customHeight="false" outlineLevel="0" collapsed="false">
      <c r="A35" s="5" t="s">
        <v>34</v>
      </c>
      <c r="B35" s="5" t="s">
        <v>75</v>
      </c>
      <c r="C35" s="5" t="s">
        <v>1701</v>
      </c>
      <c r="D35" s="6" t="s">
        <v>3278</v>
      </c>
      <c r="E35" s="5" t="s">
        <v>3278</v>
      </c>
      <c r="F35" s="5"/>
      <c r="G35" s="6" t="s">
        <v>3279</v>
      </c>
    </row>
    <row r="36" customFormat="false" ht="15" hidden="false" customHeight="false" outlineLevel="0" collapsed="false">
      <c r="A36" s="5" t="s">
        <v>34</v>
      </c>
      <c r="B36" s="5" t="s">
        <v>75</v>
      </c>
      <c r="C36" s="5" t="s">
        <v>1701</v>
      </c>
      <c r="D36" s="6" t="s">
        <v>3280</v>
      </c>
      <c r="E36" s="5" t="s">
        <v>3280</v>
      </c>
      <c r="F36" s="5"/>
      <c r="G36" s="6" t="s">
        <v>3281</v>
      </c>
    </row>
    <row r="37" customFormat="false" ht="15" hidden="false" customHeight="false" outlineLevel="0" collapsed="false">
      <c r="A37" s="5" t="s">
        <v>34</v>
      </c>
      <c r="B37" s="5" t="s">
        <v>75</v>
      </c>
      <c r="C37" s="5" t="s">
        <v>1701</v>
      </c>
      <c r="D37" s="6" t="s">
        <v>3282</v>
      </c>
      <c r="E37" s="5" t="s">
        <v>3282</v>
      </c>
      <c r="F37" s="5"/>
      <c r="G37" s="6" t="s">
        <v>3283</v>
      </c>
    </row>
    <row r="38" customFormat="false" ht="15" hidden="false" customHeight="false" outlineLevel="0" collapsed="false">
      <c r="A38" s="5" t="s">
        <v>34</v>
      </c>
      <c r="B38" s="5" t="s">
        <v>75</v>
      </c>
      <c r="C38" s="5" t="s">
        <v>1701</v>
      </c>
      <c r="D38" s="6" t="s">
        <v>3284</v>
      </c>
      <c r="E38" s="5" t="s">
        <v>3284</v>
      </c>
      <c r="F38" s="5"/>
      <c r="G38" s="6" t="s">
        <v>3285</v>
      </c>
    </row>
    <row r="39" customFormat="false" ht="15" hidden="false" customHeight="false" outlineLevel="0" collapsed="false">
      <c r="A39" s="5" t="s">
        <v>34</v>
      </c>
      <c r="B39" s="5" t="s">
        <v>75</v>
      </c>
      <c r="C39" s="5" t="s">
        <v>1701</v>
      </c>
      <c r="D39" s="6" t="s">
        <v>3286</v>
      </c>
      <c r="E39" s="5" t="s">
        <v>3286</v>
      </c>
      <c r="F39" s="5"/>
      <c r="G39" s="6" t="s">
        <v>3287</v>
      </c>
    </row>
    <row r="40" customFormat="false" ht="15" hidden="false" customHeight="false" outlineLevel="0" collapsed="false">
      <c r="A40" s="5" t="s">
        <v>34</v>
      </c>
      <c r="B40" s="5" t="s">
        <v>75</v>
      </c>
      <c r="C40" s="5" t="s">
        <v>1701</v>
      </c>
      <c r="D40" s="6" t="s">
        <v>3288</v>
      </c>
      <c r="E40" s="5" t="s">
        <v>3289</v>
      </c>
      <c r="F40" s="5"/>
      <c r="G40" s="6" t="s">
        <v>3290</v>
      </c>
    </row>
    <row r="41" customFormat="false" ht="15" hidden="false" customHeight="false" outlineLevel="0" collapsed="false">
      <c r="A41" s="5" t="s">
        <v>34</v>
      </c>
      <c r="B41" s="5" t="s">
        <v>75</v>
      </c>
      <c r="C41" s="5" t="s">
        <v>1701</v>
      </c>
      <c r="D41" s="6" t="s">
        <v>3291</v>
      </c>
      <c r="E41" s="5" t="s">
        <v>3291</v>
      </c>
      <c r="F41" s="5"/>
      <c r="G41" s="6" t="s">
        <v>3292</v>
      </c>
    </row>
    <row r="42" customFormat="false" ht="15" hidden="false" customHeight="false" outlineLevel="0" collapsed="false">
      <c r="A42" s="5" t="s">
        <v>34</v>
      </c>
      <c r="B42" s="5" t="s">
        <v>75</v>
      </c>
      <c r="C42" s="5" t="s">
        <v>1701</v>
      </c>
      <c r="D42" s="6" t="s">
        <v>3293</v>
      </c>
      <c r="E42" s="5" t="s">
        <v>3293</v>
      </c>
      <c r="F42" s="5"/>
      <c r="G42" s="6" t="s">
        <v>3294</v>
      </c>
    </row>
    <row r="43" customFormat="false" ht="15" hidden="false" customHeight="false" outlineLevel="0" collapsed="false">
      <c r="A43" s="5" t="s">
        <v>34</v>
      </c>
      <c r="B43" s="5" t="s">
        <v>75</v>
      </c>
      <c r="C43" s="5" t="s">
        <v>1701</v>
      </c>
      <c r="D43" s="6" t="s">
        <v>3295</v>
      </c>
      <c r="E43" s="5" t="s">
        <v>3295</v>
      </c>
      <c r="F43" s="5"/>
      <c r="G43" s="6" t="s">
        <v>3296</v>
      </c>
    </row>
    <row r="44" customFormat="false" ht="15" hidden="false" customHeight="false" outlineLevel="0" collapsed="false">
      <c r="A44" s="5" t="s">
        <v>34</v>
      </c>
      <c r="B44" s="5" t="s">
        <v>75</v>
      </c>
      <c r="C44" s="5" t="s">
        <v>1701</v>
      </c>
      <c r="D44" s="6" t="s">
        <v>3297</v>
      </c>
      <c r="E44" s="5" t="s">
        <v>3297</v>
      </c>
      <c r="F44" s="5"/>
      <c r="G44" s="6" t="s">
        <v>3298</v>
      </c>
    </row>
    <row r="45" customFormat="false" ht="15" hidden="false" customHeight="false" outlineLevel="0" collapsed="false">
      <c r="A45" s="5" t="s">
        <v>34</v>
      </c>
      <c r="B45" s="5" t="s">
        <v>45</v>
      </c>
      <c r="C45" s="5" t="s">
        <v>1706</v>
      </c>
      <c r="D45" s="6" t="s">
        <v>3299</v>
      </c>
      <c r="E45" s="5" t="s">
        <v>3299</v>
      </c>
      <c r="F45" s="5"/>
      <c r="G45" s="6" t="s">
        <v>3300</v>
      </c>
    </row>
    <row r="46" customFormat="false" ht="15" hidden="false" customHeight="false" outlineLevel="0" collapsed="false">
      <c r="A46" s="5" t="s">
        <v>34</v>
      </c>
      <c r="B46" s="5" t="s">
        <v>45</v>
      </c>
      <c r="C46" s="5" t="s">
        <v>1706</v>
      </c>
      <c r="D46" s="6" t="s">
        <v>3301</v>
      </c>
      <c r="E46" s="5" t="s">
        <v>3302</v>
      </c>
      <c r="F46" s="5"/>
      <c r="G46" s="6" t="s">
        <v>3303</v>
      </c>
    </row>
    <row r="47" customFormat="false" ht="15" hidden="false" customHeight="false" outlineLevel="0" collapsed="false">
      <c r="A47" s="5" t="s">
        <v>34</v>
      </c>
      <c r="B47" s="5" t="s">
        <v>45</v>
      </c>
      <c r="C47" s="5" t="s">
        <v>1706</v>
      </c>
      <c r="D47" s="6" t="s">
        <v>3304</v>
      </c>
      <c r="E47" s="5" t="s">
        <v>3304</v>
      </c>
      <c r="F47" s="5"/>
      <c r="G47" s="6" t="s">
        <v>3305</v>
      </c>
    </row>
    <row r="48" customFormat="false" ht="15" hidden="false" customHeight="false" outlineLevel="0" collapsed="false">
      <c r="A48" s="5" t="s">
        <v>34</v>
      </c>
      <c r="B48" s="5" t="s">
        <v>45</v>
      </c>
      <c r="C48" s="5" t="s">
        <v>1706</v>
      </c>
      <c r="D48" s="6" t="s">
        <v>3289</v>
      </c>
      <c r="E48" s="5" t="s">
        <v>3289</v>
      </c>
      <c r="F48" s="5"/>
      <c r="G48" s="6" t="s">
        <v>3306</v>
      </c>
    </row>
    <row r="49" customFormat="false" ht="15" hidden="false" customHeight="false" outlineLevel="0" collapsed="false">
      <c r="A49" s="5" t="s">
        <v>34</v>
      </c>
      <c r="B49" s="5" t="s">
        <v>45</v>
      </c>
      <c r="C49" s="5" t="s">
        <v>1706</v>
      </c>
      <c r="D49" s="6" t="s">
        <v>3293</v>
      </c>
      <c r="E49" s="5" t="s">
        <v>3293</v>
      </c>
      <c r="F49" s="5"/>
      <c r="G49" s="6" t="s">
        <v>3307</v>
      </c>
    </row>
    <row r="50" customFormat="false" ht="15" hidden="false" customHeight="false" outlineLevel="0" collapsed="false">
      <c r="A50" s="5" t="s">
        <v>34</v>
      </c>
      <c r="B50" s="5" t="s">
        <v>45</v>
      </c>
      <c r="C50" s="5" t="s">
        <v>1706</v>
      </c>
      <c r="D50" s="6" t="s">
        <v>3282</v>
      </c>
      <c r="E50" s="5" t="s">
        <v>3282</v>
      </c>
      <c r="F50" s="5"/>
      <c r="G50" s="6" t="s">
        <v>3308</v>
      </c>
    </row>
    <row r="51" customFormat="false" ht="15" hidden="false" customHeight="false" outlineLevel="0" collapsed="false">
      <c r="A51" s="5" t="s">
        <v>34</v>
      </c>
      <c r="B51" s="5" t="s">
        <v>45</v>
      </c>
      <c r="C51" s="5" t="s">
        <v>1706</v>
      </c>
      <c r="D51" s="6" t="s">
        <v>3309</v>
      </c>
      <c r="E51" s="5" t="s">
        <v>3309</v>
      </c>
      <c r="F51" s="5"/>
      <c r="G51" s="6" t="s">
        <v>3310</v>
      </c>
    </row>
    <row r="52" customFormat="false" ht="15" hidden="false" customHeight="false" outlineLevel="0" collapsed="false">
      <c r="A52" s="5" t="s">
        <v>34</v>
      </c>
      <c r="B52" s="5" t="s">
        <v>45</v>
      </c>
      <c r="C52" s="5" t="s">
        <v>1706</v>
      </c>
      <c r="D52" s="6" t="s">
        <v>3311</v>
      </c>
      <c r="E52" s="5" t="s">
        <v>3311</v>
      </c>
      <c r="F52" s="5"/>
      <c r="G52" s="6" t="s">
        <v>3312</v>
      </c>
    </row>
    <row r="53" customFormat="false" ht="15" hidden="false" customHeight="false" outlineLevel="0" collapsed="false">
      <c r="A53" s="5" t="s">
        <v>34</v>
      </c>
      <c r="B53" s="5" t="s">
        <v>54</v>
      </c>
      <c r="C53" s="5" t="s">
        <v>1711</v>
      </c>
      <c r="D53" s="6" t="s">
        <v>3289</v>
      </c>
      <c r="E53" s="5" t="s">
        <v>3289</v>
      </c>
      <c r="F53" s="5"/>
      <c r="G53" s="6" t="s">
        <v>3313</v>
      </c>
    </row>
    <row r="54" customFormat="false" ht="15" hidden="false" customHeight="false" outlineLevel="0" collapsed="false">
      <c r="A54" s="5" t="s">
        <v>34</v>
      </c>
      <c r="B54" s="5" t="s">
        <v>54</v>
      </c>
      <c r="C54" s="5" t="s">
        <v>1711</v>
      </c>
      <c r="D54" s="6" t="s">
        <v>3314</v>
      </c>
      <c r="E54" s="5" t="s">
        <v>3314</v>
      </c>
      <c r="F54" s="5"/>
      <c r="G54" s="6" t="s">
        <v>3315</v>
      </c>
    </row>
    <row r="55" customFormat="false" ht="15" hidden="false" customHeight="false" outlineLevel="0" collapsed="false">
      <c r="A55" s="5" t="s">
        <v>34</v>
      </c>
      <c r="B55" s="5" t="s">
        <v>54</v>
      </c>
      <c r="C55" s="5" t="s">
        <v>1711</v>
      </c>
      <c r="D55" s="6" t="s">
        <v>3282</v>
      </c>
      <c r="E55" s="5" t="s">
        <v>3282</v>
      </c>
      <c r="F55" s="5"/>
      <c r="G55" s="6" t="s">
        <v>3316</v>
      </c>
    </row>
    <row r="56" customFormat="false" ht="15" hidden="false" customHeight="false" outlineLevel="0" collapsed="false">
      <c r="A56" s="5" t="s">
        <v>34</v>
      </c>
      <c r="B56" s="5" t="s">
        <v>54</v>
      </c>
      <c r="C56" s="5" t="s">
        <v>1711</v>
      </c>
      <c r="D56" s="6" t="s">
        <v>3309</v>
      </c>
      <c r="E56" s="5" t="s">
        <v>3309</v>
      </c>
      <c r="F56" s="5"/>
      <c r="G56" s="6" t="s">
        <v>3317</v>
      </c>
    </row>
    <row r="57" customFormat="false" ht="15" hidden="false" customHeight="false" outlineLevel="0" collapsed="false">
      <c r="A57" s="5" t="s">
        <v>34</v>
      </c>
      <c r="B57" s="5" t="s">
        <v>54</v>
      </c>
      <c r="C57" s="5" t="s">
        <v>1711</v>
      </c>
      <c r="D57" s="6" t="s">
        <v>3293</v>
      </c>
      <c r="E57" s="5" t="s">
        <v>3293</v>
      </c>
      <c r="F57" s="5"/>
      <c r="G57" s="6" t="s">
        <v>3318</v>
      </c>
    </row>
    <row r="58" customFormat="false" ht="15" hidden="false" customHeight="false" outlineLevel="0" collapsed="false">
      <c r="A58" s="5" t="s">
        <v>34</v>
      </c>
      <c r="B58" s="5" t="s">
        <v>3198</v>
      </c>
      <c r="C58" s="5" t="s">
        <v>3199</v>
      </c>
      <c r="D58" s="6" t="s">
        <v>3319</v>
      </c>
      <c r="E58" s="5" t="s">
        <v>3319</v>
      </c>
      <c r="F58" s="5"/>
      <c r="G58" s="6" t="s">
        <v>3320</v>
      </c>
    </row>
    <row r="59" customFormat="false" ht="15" hidden="false" customHeight="false" outlineLevel="0" collapsed="false">
      <c r="A59" s="5" t="s">
        <v>34</v>
      </c>
      <c r="B59" s="5" t="s">
        <v>3198</v>
      </c>
      <c r="C59" s="5" t="s">
        <v>3199</v>
      </c>
      <c r="D59" s="6" t="s">
        <v>3321</v>
      </c>
      <c r="E59" s="5" t="s">
        <v>3321</v>
      </c>
      <c r="F59" s="5"/>
      <c r="G59" s="6" t="s">
        <v>3322</v>
      </c>
    </row>
    <row r="60" customFormat="false" ht="15" hidden="false" customHeight="false" outlineLevel="0" collapsed="false">
      <c r="A60" s="5" t="s">
        <v>34</v>
      </c>
      <c r="B60" s="5" t="s">
        <v>3198</v>
      </c>
      <c r="C60" s="5" t="s">
        <v>3199</v>
      </c>
      <c r="D60" s="6" t="s">
        <v>3323</v>
      </c>
      <c r="E60" s="5" t="s">
        <v>3323</v>
      </c>
      <c r="F60" s="5"/>
      <c r="G60" s="6" t="s">
        <v>3324</v>
      </c>
    </row>
    <row r="61" customFormat="false" ht="15" hidden="false" customHeight="false" outlineLevel="0" collapsed="false">
      <c r="A61" s="5" t="s">
        <v>34</v>
      </c>
      <c r="B61" s="5" t="s">
        <v>3198</v>
      </c>
      <c r="C61" s="5" t="s">
        <v>3199</v>
      </c>
      <c r="D61" s="6" t="s">
        <v>3325</v>
      </c>
      <c r="E61" s="5" t="s">
        <v>3325</v>
      </c>
      <c r="F61" s="5"/>
      <c r="G61" s="6" t="s">
        <v>3326</v>
      </c>
    </row>
    <row r="62" customFormat="false" ht="15" hidden="false" customHeight="false" outlineLevel="0" collapsed="false">
      <c r="A62" s="5" t="s">
        <v>34</v>
      </c>
      <c r="B62" s="5" t="s">
        <v>3198</v>
      </c>
      <c r="C62" s="5" t="s">
        <v>3199</v>
      </c>
      <c r="D62" s="6" t="s">
        <v>3327</v>
      </c>
      <c r="E62" s="5" t="s">
        <v>3327</v>
      </c>
      <c r="F62" s="5"/>
      <c r="G62" s="6" t="s">
        <v>3328</v>
      </c>
    </row>
    <row r="63" customFormat="false" ht="15" hidden="false" customHeight="false" outlineLevel="0" collapsed="false">
      <c r="A63" s="5" t="s">
        <v>34</v>
      </c>
      <c r="B63" s="5" t="s">
        <v>3198</v>
      </c>
      <c r="C63" s="5" t="s">
        <v>3199</v>
      </c>
      <c r="D63" s="6" t="s">
        <v>3329</v>
      </c>
      <c r="E63" s="5" t="s">
        <v>3329</v>
      </c>
      <c r="F63" s="5"/>
      <c r="G63" s="6" t="s">
        <v>3330</v>
      </c>
    </row>
    <row r="64" customFormat="false" ht="15" hidden="false" customHeight="false" outlineLevel="0" collapsed="false">
      <c r="A64" s="5" t="s">
        <v>34</v>
      </c>
      <c r="B64" s="5" t="s">
        <v>72</v>
      </c>
      <c r="C64" s="5" t="s">
        <v>1731</v>
      </c>
      <c r="D64" s="6" t="s">
        <v>3331</v>
      </c>
      <c r="E64" s="5" t="s">
        <v>3331</v>
      </c>
      <c r="F64" s="5"/>
      <c r="G64" s="6" t="s">
        <v>3332</v>
      </c>
    </row>
    <row r="65" customFormat="false" ht="15" hidden="false" customHeight="false" outlineLevel="0" collapsed="false">
      <c r="A65" s="5" t="s">
        <v>34</v>
      </c>
      <c r="B65" s="5" t="s">
        <v>72</v>
      </c>
      <c r="C65" s="5" t="s">
        <v>1731</v>
      </c>
      <c r="D65" s="6" t="s">
        <v>3333</v>
      </c>
      <c r="E65" s="5" t="s">
        <v>3333</v>
      </c>
      <c r="F65" s="5"/>
      <c r="G65" s="6" t="s">
        <v>3334</v>
      </c>
    </row>
    <row r="66" customFormat="false" ht="15" hidden="false" customHeight="false" outlineLevel="0" collapsed="false">
      <c r="A66" s="5" t="s">
        <v>34</v>
      </c>
      <c r="B66" s="5" t="s">
        <v>63</v>
      </c>
      <c r="C66" s="5" t="s">
        <v>1726</v>
      </c>
      <c r="D66" s="6" t="s">
        <v>3335</v>
      </c>
      <c r="E66" s="5" t="s">
        <v>3336</v>
      </c>
      <c r="F66" s="5"/>
      <c r="G66" s="6" t="s">
        <v>3337</v>
      </c>
    </row>
    <row r="67" customFormat="false" ht="15" hidden="false" customHeight="false" outlineLevel="0" collapsed="false">
      <c r="A67" s="5" t="s">
        <v>34</v>
      </c>
      <c r="B67" s="5" t="s">
        <v>63</v>
      </c>
      <c r="C67" s="5" t="s">
        <v>1726</v>
      </c>
      <c r="D67" s="6" t="s">
        <v>3338</v>
      </c>
      <c r="E67" s="5" t="s">
        <v>3339</v>
      </c>
      <c r="F67" s="5"/>
      <c r="G67" s="6" t="s">
        <v>3340</v>
      </c>
    </row>
    <row r="68" customFormat="false" ht="15" hidden="false" customHeight="false" outlineLevel="0" collapsed="false">
      <c r="A68" s="5" t="s">
        <v>34</v>
      </c>
      <c r="B68" s="5" t="s">
        <v>63</v>
      </c>
      <c r="C68" s="5" t="s">
        <v>1726</v>
      </c>
      <c r="D68" s="6" t="s">
        <v>3341</v>
      </c>
      <c r="E68" s="5" t="s">
        <v>3342</v>
      </c>
      <c r="F68" s="5"/>
      <c r="G68" s="6" t="s">
        <v>3343</v>
      </c>
    </row>
    <row r="69" customFormat="false" ht="15" hidden="false" customHeight="false" outlineLevel="0" collapsed="false">
      <c r="A69" s="5" t="s">
        <v>34</v>
      </c>
      <c r="B69" s="5" t="s">
        <v>63</v>
      </c>
      <c r="C69" s="5" t="s">
        <v>1726</v>
      </c>
      <c r="D69" s="6" t="s">
        <v>3344</v>
      </c>
      <c r="E69" s="5" t="s">
        <v>3345</v>
      </c>
      <c r="F69" s="5"/>
      <c r="G69" s="6" t="s">
        <v>3346</v>
      </c>
    </row>
    <row r="70" customFormat="false" ht="15" hidden="false" customHeight="false" outlineLevel="0" collapsed="false">
      <c r="A70" s="5" t="s">
        <v>34</v>
      </c>
      <c r="B70" s="5" t="s">
        <v>63</v>
      </c>
      <c r="C70" s="5" t="s">
        <v>1726</v>
      </c>
      <c r="D70" s="6" t="s">
        <v>3347</v>
      </c>
      <c r="E70" s="5" t="s">
        <v>3347</v>
      </c>
      <c r="F70" s="5"/>
      <c r="G70" s="6" t="s">
        <v>3348</v>
      </c>
    </row>
    <row r="71" customFormat="false" ht="15" hidden="false" customHeight="false" outlineLevel="0" collapsed="false">
      <c r="A71" s="5" t="s">
        <v>34</v>
      </c>
      <c r="B71" s="5" t="s">
        <v>63</v>
      </c>
      <c r="C71" s="5" t="s">
        <v>1726</v>
      </c>
      <c r="D71" s="6" t="s">
        <v>3349</v>
      </c>
      <c r="E71" s="5" t="s">
        <v>3350</v>
      </c>
      <c r="F71" s="5"/>
      <c r="G71" s="6" t="s">
        <v>3351</v>
      </c>
    </row>
    <row r="72" customFormat="false" ht="15" hidden="false" customHeight="false" outlineLevel="0" collapsed="false">
      <c r="A72" s="5" t="s">
        <v>34</v>
      </c>
      <c r="B72" s="5" t="s">
        <v>63</v>
      </c>
      <c r="C72" s="5" t="s">
        <v>1726</v>
      </c>
      <c r="D72" s="6" t="s">
        <v>3352</v>
      </c>
      <c r="E72" s="5" t="s">
        <v>3353</v>
      </c>
      <c r="F72" s="5"/>
      <c r="G72" s="6" t="s">
        <v>3354</v>
      </c>
    </row>
    <row r="73" customFormat="false" ht="22.35" hidden="false" customHeight="false" outlineLevel="0" collapsed="false">
      <c r="A73" s="5" t="s">
        <v>34</v>
      </c>
      <c r="B73" s="5" t="s">
        <v>63</v>
      </c>
      <c r="C73" s="5" t="s">
        <v>1726</v>
      </c>
      <c r="D73" s="6" t="s">
        <v>3355</v>
      </c>
      <c r="E73" s="5" t="s">
        <v>3355</v>
      </c>
      <c r="F73" s="5"/>
      <c r="G73" s="6" t="s">
        <v>3356</v>
      </c>
    </row>
    <row r="74" customFormat="false" ht="15" hidden="false" customHeight="false" outlineLevel="0" collapsed="false">
      <c r="A74" s="5" t="s">
        <v>34</v>
      </c>
      <c r="B74" s="5" t="s">
        <v>63</v>
      </c>
      <c r="C74" s="5" t="s">
        <v>1726</v>
      </c>
      <c r="D74" s="6" t="s">
        <v>3357</v>
      </c>
      <c r="E74" s="5" t="s">
        <v>3357</v>
      </c>
      <c r="F74" s="5"/>
      <c r="G74" s="6" t="s">
        <v>3358</v>
      </c>
    </row>
    <row r="75" customFormat="false" ht="15" hidden="false" customHeight="false" outlineLevel="0" collapsed="false">
      <c r="A75" s="5" t="s">
        <v>34</v>
      </c>
      <c r="B75" s="5" t="s">
        <v>63</v>
      </c>
      <c r="C75" s="5" t="s">
        <v>1726</v>
      </c>
      <c r="D75" s="6" t="s">
        <v>3359</v>
      </c>
      <c r="E75" s="5" t="s">
        <v>3359</v>
      </c>
      <c r="F75" s="5"/>
      <c r="G75" s="6" t="s">
        <v>3360</v>
      </c>
    </row>
    <row r="76" customFormat="false" ht="15" hidden="false" customHeight="false" outlineLevel="0" collapsed="false">
      <c r="A76" s="5" t="s">
        <v>34</v>
      </c>
      <c r="B76" s="5" t="s">
        <v>63</v>
      </c>
      <c r="C76" s="5" t="s">
        <v>1726</v>
      </c>
      <c r="D76" s="6" t="s">
        <v>3361</v>
      </c>
      <c r="E76" s="5" t="s">
        <v>3361</v>
      </c>
      <c r="F76" s="5"/>
      <c r="G76" s="6" t="s">
        <v>3362</v>
      </c>
    </row>
    <row r="77" customFormat="false" ht="15" hidden="false" customHeight="false" outlineLevel="0" collapsed="false">
      <c r="A77" s="5" t="s">
        <v>34</v>
      </c>
      <c r="B77" s="5" t="s">
        <v>81</v>
      </c>
      <c r="C77" s="5" t="s">
        <v>1668</v>
      </c>
      <c r="D77" s="6" t="s">
        <v>3363</v>
      </c>
      <c r="E77" s="5" t="s">
        <v>3364</v>
      </c>
      <c r="F77" s="5"/>
      <c r="G77" s="6" t="s">
        <v>3365</v>
      </c>
    </row>
    <row r="78" customFormat="false" ht="15" hidden="false" customHeight="false" outlineLevel="0" collapsed="false">
      <c r="A78" s="5" t="s">
        <v>34</v>
      </c>
      <c r="B78" s="5" t="s">
        <v>81</v>
      </c>
      <c r="C78" s="5" t="s">
        <v>1668</v>
      </c>
      <c r="D78" s="6" t="s">
        <v>3366</v>
      </c>
      <c r="E78" s="5" t="s">
        <v>3367</v>
      </c>
      <c r="F78" s="5"/>
      <c r="G78" s="6" t="s">
        <v>3368</v>
      </c>
    </row>
    <row r="79" customFormat="false" ht="15" hidden="false" customHeight="false" outlineLevel="0" collapsed="false">
      <c r="A79" s="5" t="s">
        <v>34</v>
      </c>
      <c r="B79" s="5" t="s">
        <v>81</v>
      </c>
      <c r="C79" s="5" t="s">
        <v>1668</v>
      </c>
      <c r="D79" s="6" t="s">
        <v>3369</v>
      </c>
      <c r="E79" s="5" t="s">
        <v>3370</v>
      </c>
      <c r="F79" s="5"/>
      <c r="G79" s="6" t="s">
        <v>3371</v>
      </c>
    </row>
    <row r="80" customFormat="false" ht="15" hidden="false" customHeight="false" outlineLevel="0" collapsed="false">
      <c r="A80" s="5" t="s">
        <v>34</v>
      </c>
      <c r="B80" s="5" t="s">
        <v>81</v>
      </c>
      <c r="C80" s="5" t="s">
        <v>1668</v>
      </c>
      <c r="D80" s="6" t="s">
        <v>3372</v>
      </c>
      <c r="E80" s="5" t="s">
        <v>3276</v>
      </c>
      <c r="F80" s="5"/>
      <c r="G80" s="6" t="s">
        <v>3373</v>
      </c>
    </row>
    <row r="81" customFormat="false" ht="15" hidden="false" customHeight="false" outlineLevel="0" collapsed="false">
      <c r="A81" s="5" t="s">
        <v>34</v>
      </c>
      <c r="B81" s="5" t="s">
        <v>81</v>
      </c>
      <c r="C81" s="5" t="s">
        <v>1668</v>
      </c>
      <c r="D81" s="6" t="s">
        <v>3374</v>
      </c>
      <c r="E81" s="5" t="s">
        <v>3278</v>
      </c>
      <c r="F81" s="5"/>
      <c r="G81" s="6" t="s">
        <v>3375</v>
      </c>
    </row>
    <row r="82" customFormat="false" ht="15" hidden="false" customHeight="false" outlineLevel="0" collapsed="false">
      <c r="A82" s="5" t="s">
        <v>34</v>
      </c>
      <c r="B82" s="5" t="s">
        <v>81</v>
      </c>
      <c r="C82" s="5" t="s">
        <v>1668</v>
      </c>
      <c r="D82" s="6" t="s">
        <v>3376</v>
      </c>
      <c r="E82" s="5" t="s">
        <v>3377</v>
      </c>
      <c r="F82" s="5"/>
      <c r="G82" s="6" t="s">
        <v>3378</v>
      </c>
    </row>
    <row r="83" customFormat="false" ht="15" hidden="false" customHeight="false" outlineLevel="0" collapsed="false">
      <c r="A83" s="5" t="s">
        <v>34</v>
      </c>
      <c r="B83" s="5" t="s">
        <v>81</v>
      </c>
      <c r="C83" s="5" t="s">
        <v>1668</v>
      </c>
      <c r="D83" s="6" t="s">
        <v>3379</v>
      </c>
      <c r="E83" s="5" t="s">
        <v>3380</v>
      </c>
      <c r="F83" s="5"/>
      <c r="G83" s="6" t="s">
        <v>3381</v>
      </c>
    </row>
    <row r="84" customFormat="false" ht="15" hidden="false" customHeight="false" outlineLevel="0" collapsed="false">
      <c r="A84" s="5" t="s">
        <v>34</v>
      </c>
      <c r="B84" s="5" t="s">
        <v>1576</v>
      </c>
      <c r="C84" s="5" t="s">
        <v>1577</v>
      </c>
      <c r="D84" s="6" t="s">
        <v>3382</v>
      </c>
      <c r="E84" s="5" t="s">
        <v>3383</v>
      </c>
      <c r="F84" s="5" t="s">
        <v>3384</v>
      </c>
      <c r="G84" s="6" t="s">
        <v>3385</v>
      </c>
    </row>
    <row r="85" customFormat="false" ht="15" hidden="false" customHeight="false" outlineLevel="0" collapsed="false">
      <c r="A85" s="5" t="s">
        <v>34</v>
      </c>
      <c r="B85" s="5" t="s">
        <v>1576</v>
      </c>
      <c r="C85" s="5" t="s">
        <v>1577</v>
      </c>
      <c r="D85" s="6" t="s">
        <v>3386</v>
      </c>
      <c r="E85" s="5" t="s">
        <v>3387</v>
      </c>
      <c r="F85" s="5" t="s">
        <v>3384</v>
      </c>
      <c r="G85" s="6" t="s">
        <v>3388</v>
      </c>
    </row>
    <row r="86" customFormat="false" ht="15" hidden="false" customHeight="false" outlineLevel="0" collapsed="false">
      <c r="A86" s="5" t="s">
        <v>34</v>
      </c>
      <c r="B86" s="5" t="s">
        <v>1576</v>
      </c>
      <c r="C86" s="5" t="s">
        <v>1577</v>
      </c>
      <c r="D86" s="6" t="s">
        <v>3389</v>
      </c>
      <c r="E86" s="5" t="s">
        <v>3390</v>
      </c>
      <c r="F86" s="5" t="s">
        <v>3384</v>
      </c>
      <c r="G86" s="6" t="s">
        <v>3391</v>
      </c>
    </row>
    <row r="87" customFormat="false" ht="15" hidden="false" customHeight="false" outlineLevel="0" collapsed="false">
      <c r="A87" s="5" t="s">
        <v>34</v>
      </c>
      <c r="B87" s="5" t="s">
        <v>1576</v>
      </c>
      <c r="C87" s="5" t="s">
        <v>1577</v>
      </c>
      <c r="D87" s="6" t="s">
        <v>3392</v>
      </c>
      <c r="E87" s="5" t="s">
        <v>3393</v>
      </c>
      <c r="F87" s="5" t="s">
        <v>3384</v>
      </c>
      <c r="G87" s="6" t="s">
        <v>3394</v>
      </c>
    </row>
    <row r="88" customFormat="false" ht="15" hidden="false" customHeight="false" outlineLevel="0" collapsed="false">
      <c r="A88" s="5" t="s">
        <v>34</v>
      </c>
      <c r="B88" s="5" t="s">
        <v>1576</v>
      </c>
      <c r="C88" s="5" t="s">
        <v>1577</v>
      </c>
      <c r="D88" s="6" t="s">
        <v>3395</v>
      </c>
      <c r="E88" s="5" t="s">
        <v>3396</v>
      </c>
      <c r="F88" s="5" t="s">
        <v>3384</v>
      </c>
      <c r="G88" s="6" t="s">
        <v>3397</v>
      </c>
    </row>
    <row r="89" customFormat="false" ht="15" hidden="false" customHeight="false" outlineLevel="0" collapsed="false">
      <c r="A89" s="5" t="s">
        <v>34</v>
      </c>
      <c r="B89" s="5" t="s">
        <v>1576</v>
      </c>
      <c r="C89" s="5" t="s">
        <v>1577</v>
      </c>
      <c r="D89" s="6" t="s">
        <v>3398</v>
      </c>
      <c r="E89" s="5" t="s">
        <v>3399</v>
      </c>
      <c r="F89" s="5" t="s">
        <v>3384</v>
      </c>
      <c r="G89" s="6" t="s">
        <v>3400</v>
      </c>
    </row>
    <row r="90" customFormat="false" ht="15" hidden="false" customHeight="false" outlineLevel="0" collapsed="false">
      <c r="A90" s="5" t="s">
        <v>34</v>
      </c>
      <c r="B90" s="5" t="s">
        <v>1576</v>
      </c>
      <c r="C90" s="5" t="s">
        <v>1577</v>
      </c>
      <c r="D90" s="6" t="s">
        <v>3401</v>
      </c>
      <c r="E90" s="5" t="s">
        <v>3402</v>
      </c>
      <c r="F90" s="5" t="s">
        <v>3384</v>
      </c>
      <c r="G90" s="6" t="s">
        <v>3403</v>
      </c>
    </row>
    <row r="91" customFormat="false" ht="15" hidden="false" customHeight="false" outlineLevel="0" collapsed="false">
      <c r="A91" s="5" t="s">
        <v>34</v>
      </c>
      <c r="B91" s="5" t="s">
        <v>1576</v>
      </c>
      <c r="C91" s="5" t="s">
        <v>1577</v>
      </c>
      <c r="D91" s="6" t="s">
        <v>3404</v>
      </c>
      <c r="E91" s="5" t="s">
        <v>3405</v>
      </c>
      <c r="F91" s="5" t="s">
        <v>3406</v>
      </c>
      <c r="G91" s="6" t="s">
        <v>3407</v>
      </c>
    </row>
    <row r="92" customFormat="false" ht="15" hidden="false" customHeight="false" outlineLevel="0" collapsed="false">
      <c r="A92" s="5" t="s">
        <v>34</v>
      </c>
      <c r="B92" s="5" t="s">
        <v>1576</v>
      </c>
      <c r="C92" s="5" t="s">
        <v>1577</v>
      </c>
      <c r="D92" s="6" t="s">
        <v>3408</v>
      </c>
      <c r="E92" s="5" t="s">
        <v>3409</v>
      </c>
      <c r="F92" s="5" t="s">
        <v>3406</v>
      </c>
      <c r="G92" s="6" t="s">
        <v>3410</v>
      </c>
    </row>
    <row r="93" customFormat="false" ht="15" hidden="false" customHeight="false" outlineLevel="0" collapsed="false">
      <c r="A93" s="5" t="s">
        <v>34</v>
      </c>
      <c r="B93" s="5" t="s">
        <v>1576</v>
      </c>
      <c r="C93" s="5" t="s">
        <v>1577</v>
      </c>
      <c r="D93" s="6" t="s">
        <v>3411</v>
      </c>
      <c r="E93" s="5" t="s">
        <v>3412</v>
      </c>
      <c r="F93" s="5" t="s">
        <v>3406</v>
      </c>
      <c r="G93" s="6" t="s">
        <v>3413</v>
      </c>
    </row>
    <row r="94" customFormat="false" ht="15" hidden="false" customHeight="false" outlineLevel="0" collapsed="false">
      <c r="A94" s="5" t="s">
        <v>34</v>
      </c>
      <c r="B94" s="5" t="s">
        <v>1576</v>
      </c>
      <c r="C94" s="5" t="s">
        <v>1577</v>
      </c>
      <c r="D94" s="6" t="s">
        <v>3414</v>
      </c>
      <c r="E94" s="5" t="s">
        <v>3415</v>
      </c>
      <c r="F94" s="5" t="s">
        <v>3406</v>
      </c>
      <c r="G94" s="6" t="s">
        <v>3416</v>
      </c>
    </row>
    <row r="95" customFormat="false" ht="15" hidden="false" customHeight="false" outlineLevel="0" collapsed="false">
      <c r="A95" s="5" t="s">
        <v>34</v>
      </c>
      <c r="B95" s="5" t="s">
        <v>1576</v>
      </c>
      <c r="C95" s="5" t="s">
        <v>1577</v>
      </c>
      <c r="D95" s="6" t="s">
        <v>3417</v>
      </c>
      <c r="E95" s="5" t="s">
        <v>3418</v>
      </c>
      <c r="F95" s="5" t="s">
        <v>3406</v>
      </c>
      <c r="G95" s="6" t="s">
        <v>3419</v>
      </c>
    </row>
    <row r="96" customFormat="false" ht="15" hidden="false" customHeight="false" outlineLevel="0" collapsed="false">
      <c r="A96" s="5" t="s">
        <v>34</v>
      </c>
      <c r="B96" s="5" t="s">
        <v>1576</v>
      </c>
      <c r="C96" s="5" t="s">
        <v>1577</v>
      </c>
      <c r="D96" s="6" t="s">
        <v>3420</v>
      </c>
      <c r="E96" s="5" t="s">
        <v>3421</v>
      </c>
      <c r="F96" s="5" t="s">
        <v>3406</v>
      </c>
      <c r="G96" s="6" t="s">
        <v>3422</v>
      </c>
    </row>
    <row r="97" customFormat="false" ht="15" hidden="false" customHeight="false" outlineLevel="0" collapsed="false">
      <c r="A97" s="5" t="s">
        <v>34</v>
      </c>
      <c r="B97" s="5" t="s">
        <v>1576</v>
      </c>
      <c r="C97" s="5" t="s">
        <v>1577</v>
      </c>
      <c r="D97" s="6" t="s">
        <v>3423</v>
      </c>
      <c r="E97" s="5" t="s">
        <v>3424</v>
      </c>
      <c r="F97" s="5" t="s">
        <v>3406</v>
      </c>
      <c r="G97" s="6" t="s">
        <v>3425</v>
      </c>
    </row>
    <row r="98" customFormat="false" ht="15" hidden="false" customHeight="false" outlineLevel="0" collapsed="false">
      <c r="A98" s="5" t="s">
        <v>34</v>
      </c>
      <c r="B98" s="5" t="s">
        <v>1576</v>
      </c>
      <c r="C98" s="5" t="s">
        <v>1577</v>
      </c>
      <c r="D98" s="6" t="s">
        <v>3426</v>
      </c>
      <c r="E98" s="5" t="s">
        <v>3427</v>
      </c>
      <c r="F98" s="5" t="s">
        <v>3428</v>
      </c>
      <c r="G98" s="6" t="s">
        <v>3429</v>
      </c>
    </row>
    <row r="99" customFormat="false" ht="15" hidden="false" customHeight="false" outlineLevel="0" collapsed="false">
      <c r="A99" s="5" t="s">
        <v>34</v>
      </c>
      <c r="B99" s="5" t="s">
        <v>1576</v>
      </c>
      <c r="C99" s="5" t="s">
        <v>1577</v>
      </c>
      <c r="D99" s="6" t="s">
        <v>3430</v>
      </c>
      <c r="E99" s="5" t="s">
        <v>3431</v>
      </c>
      <c r="F99" s="5" t="s">
        <v>3428</v>
      </c>
      <c r="G99" s="6" t="s">
        <v>3432</v>
      </c>
    </row>
    <row r="100" customFormat="false" ht="15" hidden="false" customHeight="false" outlineLevel="0" collapsed="false">
      <c r="A100" s="5" t="s">
        <v>34</v>
      </c>
      <c r="B100" s="5" t="s">
        <v>1576</v>
      </c>
      <c r="C100" s="5" t="s">
        <v>1577</v>
      </c>
      <c r="D100" s="6" t="s">
        <v>3433</v>
      </c>
      <c r="E100" s="5" t="s">
        <v>3434</v>
      </c>
      <c r="F100" s="5" t="s">
        <v>3428</v>
      </c>
      <c r="G100" s="6" t="s">
        <v>3435</v>
      </c>
    </row>
    <row r="101" customFormat="false" ht="15" hidden="false" customHeight="false" outlineLevel="0" collapsed="false">
      <c r="A101" s="5" t="s">
        <v>34</v>
      </c>
      <c r="B101" s="5" t="s">
        <v>1576</v>
      </c>
      <c r="C101" s="5" t="s">
        <v>1577</v>
      </c>
      <c r="D101" s="6" t="s">
        <v>3436</v>
      </c>
      <c r="E101" s="5" t="s">
        <v>3437</v>
      </c>
      <c r="F101" s="5" t="s">
        <v>3428</v>
      </c>
      <c r="G101" s="6" t="s">
        <v>3438</v>
      </c>
    </row>
    <row r="102" customFormat="false" ht="15" hidden="false" customHeight="false" outlineLevel="0" collapsed="false">
      <c r="A102" s="5" t="s">
        <v>34</v>
      </c>
      <c r="B102" s="5" t="s">
        <v>1576</v>
      </c>
      <c r="C102" s="5" t="s">
        <v>1577</v>
      </c>
      <c r="D102" s="6" t="s">
        <v>3439</v>
      </c>
      <c r="E102" s="5" t="s">
        <v>3440</v>
      </c>
      <c r="F102" s="5" t="s">
        <v>3428</v>
      </c>
      <c r="G102" s="6" t="s">
        <v>3441</v>
      </c>
    </row>
    <row r="103" customFormat="false" ht="15" hidden="false" customHeight="false" outlineLevel="0" collapsed="false">
      <c r="A103" s="5" t="s">
        <v>34</v>
      </c>
      <c r="B103" s="5" t="s">
        <v>1576</v>
      </c>
      <c r="C103" s="5" t="s">
        <v>1577</v>
      </c>
      <c r="D103" s="6" t="s">
        <v>3442</v>
      </c>
      <c r="E103" s="5" t="s">
        <v>3443</v>
      </c>
      <c r="F103" s="5" t="s">
        <v>3428</v>
      </c>
      <c r="G103" s="6" t="s">
        <v>3444</v>
      </c>
    </row>
    <row r="104" customFormat="false" ht="15" hidden="false" customHeight="false" outlineLevel="0" collapsed="false">
      <c r="A104" s="5" t="s">
        <v>34</v>
      </c>
      <c r="B104" s="5" t="s">
        <v>1576</v>
      </c>
      <c r="C104" s="5" t="s">
        <v>1577</v>
      </c>
      <c r="D104" s="6" t="s">
        <v>3445</v>
      </c>
      <c r="E104" s="5" t="s">
        <v>3446</v>
      </c>
      <c r="F104" s="5" t="s">
        <v>3428</v>
      </c>
      <c r="G104" s="6" t="s">
        <v>3447</v>
      </c>
    </row>
    <row r="105" customFormat="false" ht="15" hidden="false" customHeight="false" outlineLevel="0" collapsed="false">
      <c r="A105" s="5" t="s">
        <v>34</v>
      </c>
      <c r="B105" s="5" t="s">
        <v>1576</v>
      </c>
      <c r="C105" s="5" t="s">
        <v>1577</v>
      </c>
      <c r="D105" s="6" t="s">
        <v>3448</v>
      </c>
      <c r="E105" s="5" t="s">
        <v>3449</v>
      </c>
      <c r="F105" s="5" t="s">
        <v>3450</v>
      </c>
      <c r="G105" s="6" t="s">
        <v>3451</v>
      </c>
    </row>
    <row r="106" customFormat="false" ht="15" hidden="false" customHeight="false" outlineLevel="0" collapsed="false">
      <c r="A106" s="5" t="s">
        <v>34</v>
      </c>
      <c r="B106" s="5" t="s">
        <v>1576</v>
      </c>
      <c r="C106" s="5" t="s">
        <v>1577</v>
      </c>
      <c r="D106" s="6" t="s">
        <v>3452</v>
      </c>
      <c r="E106" s="5" t="s">
        <v>3453</v>
      </c>
      <c r="F106" s="5" t="s">
        <v>3450</v>
      </c>
      <c r="G106" s="6" t="s">
        <v>3454</v>
      </c>
    </row>
    <row r="107" customFormat="false" ht="15" hidden="false" customHeight="false" outlineLevel="0" collapsed="false">
      <c r="A107" s="5" t="s">
        <v>34</v>
      </c>
      <c r="B107" s="5" t="s">
        <v>1576</v>
      </c>
      <c r="C107" s="5" t="s">
        <v>1577</v>
      </c>
      <c r="D107" s="6" t="s">
        <v>3455</v>
      </c>
      <c r="E107" s="5" t="s">
        <v>3456</v>
      </c>
      <c r="F107" s="5" t="s">
        <v>3450</v>
      </c>
      <c r="G107" s="6" t="s">
        <v>3457</v>
      </c>
    </row>
    <row r="108" customFormat="false" ht="15" hidden="false" customHeight="false" outlineLevel="0" collapsed="false">
      <c r="A108" s="5" t="s">
        <v>34</v>
      </c>
      <c r="B108" s="5" t="s">
        <v>1576</v>
      </c>
      <c r="C108" s="5" t="s">
        <v>1577</v>
      </c>
      <c r="D108" s="6" t="s">
        <v>3458</v>
      </c>
      <c r="E108" s="5" t="s">
        <v>3459</v>
      </c>
      <c r="F108" s="5" t="s">
        <v>3450</v>
      </c>
      <c r="G108" s="6" t="s">
        <v>3460</v>
      </c>
    </row>
    <row r="109" customFormat="false" ht="15" hidden="false" customHeight="false" outlineLevel="0" collapsed="false">
      <c r="A109" s="5" t="s">
        <v>34</v>
      </c>
      <c r="B109" s="5" t="s">
        <v>1576</v>
      </c>
      <c r="C109" s="5" t="s">
        <v>1577</v>
      </c>
      <c r="D109" s="6" t="s">
        <v>3461</v>
      </c>
      <c r="E109" s="5" t="s">
        <v>3462</v>
      </c>
      <c r="F109" s="5" t="s">
        <v>3450</v>
      </c>
      <c r="G109" s="6" t="s">
        <v>3463</v>
      </c>
    </row>
    <row r="110" customFormat="false" ht="15" hidden="false" customHeight="false" outlineLevel="0" collapsed="false">
      <c r="A110" s="5" t="s">
        <v>34</v>
      </c>
      <c r="B110" s="5" t="s">
        <v>1576</v>
      </c>
      <c r="C110" s="5" t="s">
        <v>1577</v>
      </c>
      <c r="D110" s="6" t="s">
        <v>3464</v>
      </c>
      <c r="E110" s="5" t="s">
        <v>3465</v>
      </c>
      <c r="F110" s="5" t="s">
        <v>3450</v>
      </c>
      <c r="G110" s="6" t="s">
        <v>3466</v>
      </c>
    </row>
    <row r="111" customFormat="false" ht="15" hidden="false" customHeight="false" outlineLevel="0" collapsed="false">
      <c r="A111" s="5" t="s">
        <v>34</v>
      </c>
      <c r="B111" s="5" t="s">
        <v>1576</v>
      </c>
      <c r="C111" s="5" t="s">
        <v>1577</v>
      </c>
      <c r="D111" s="6" t="s">
        <v>3467</v>
      </c>
      <c r="E111" s="5" t="s">
        <v>3468</v>
      </c>
      <c r="F111" s="5" t="s">
        <v>3450</v>
      </c>
      <c r="G111" s="6" t="s">
        <v>3469</v>
      </c>
    </row>
    <row r="112" customFormat="false" ht="15" hidden="false" customHeight="false" outlineLevel="0" collapsed="false">
      <c r="A112" s="5" t="s">
        <v>34</v>
      </c>
      <c r="B112" s="5" t="s">
        <v>1576</v>
      </c>
      <c r="C112" s="5" t="s">
        <v>1577</v>
      </c>
      <c r="D112" s="6" t="s">
        <v>3470</v>
      </c>
      <c r="E112" s="5" t="s">
        <v>3471</v>
      </c>
      <c r="F112" s="5" t="s">
        <v>3472</v>
      </c>
      <c r="G112" s="6" t="s">
        <v>3473</v>
      </c>
    </row>
    <row r="113" customFormat="false" ht="15" hidden="false" customHeight="false" outlineLevel="0" collapsed="false">
      <c r="A113" s="5" t="s">
        <v>34</v>
      </c>
      <c r="B113" s="5" t="s">
        <v>1576</v>
      </c>
      <c r="C113" s="5" t="s">
        <v>1577</v>
      </c>
      <c r="D113" s="6" t="s">
        <v>3474</v>
      </c>
      <c r="E113" s="5" t="s">
        <v>3475</v>
      </c>
      <c r="F113" s="5" t="s">
        <v>3472</v>
      </c>
      <c r="G113" s="6" t="s">
        <v>3476</v>
      </c>
    </row>
    <row r="114" customFormat="false" ht="15" hidden="false" customHeight="false" outlineLevel="0" collapsed="false">
      <c r="A114" s="5" t="s">
        <v>34</v>
      </c>
      <c r="B114" s="5" t="s">
        <v>1576</v>
      </c>
      <c r="C114" s="5" t="s">
        <v>1577</v>
      </c>
      <c r="D114" s="6" t="s">
        <v>3477</v>
      </c>
      <c r="E114" s="5" t="s">
        <v>3478</v>
      </c>
      <c r="F114" s="5" t="s">
        <v>3472</v>
      </c>
      <c r="G114" s="6" t="s">
        <v>3479</v>
      </c>
    </row>
    <row r="115" customFormat="false" ht="15" hidden="false" customHeight="false" outlineLevel="0" collapsed="false">
      <c r="A115" s="5" t="s">
        <v>34</v>
      </c>
      <c r="B115" s="5" t="s">
        <v>1576</v>
      </c>
      <c r="C115" s="5" t="s">
        <v>1577</v>
      </c>
      <c r="D115" s="6" t="s">
        <v>3480</v>
      </c>
      <c r="E115" s="5" t="s">
        <v>3481</v>
      </c>
      <c r="F115" s="5" t="s">
        <v>3472</v>
      </c>
      <c r="G115" s="6" t="s">
        <v>3482</v>
      </c>
    </row>
    <row r="116" customFormat="false" ht="15" hidden="false" customHeight="false" outlineLevel="0" collapsed="false">
      <c r="A116" s="5" t="s">
        <v>34</v>
      </c>
      <c r="B116" s="5" t="s">
        <v>1576</v>
      </c>
      <c r="C116" s="5" t="s">
        <v>1577</v>
      </c>
      <c r="D116" s="6" t="s">
        <v>3483</v>
      </c>
      <c r="E116" s="5" t="s">
        <v>3484</v>
      </c>
      <c r="F116" s="5" t="s">
        <v>3472</v>
      </c>
      <c r="G116" s="6" t="s">
        <v>3485</v>
      </c>
    </row>
    <row r="117" customFormat="false" ht="15" hidden="false" customHeight="false" outlineLevel="0" collapsed="false">
      <c r="A117" s="5" t="s">
        <v>34</v>
      </c>
      <c r="B117" s="5" t="s">
        <v>1576</v>
      </c>
      <c r="C117" s="5" t="s">
        <v>1577</v>
      </c>
      <c r="D117" s="6" t="s">
        <v>3486</v>
      </c>
      <c r="E117" s="5" t="s">
        <v>3487</v>
      </c>
      <c r="F117" s="5" t="s">
        <v>3472</v>
      </c>
      <c r="G117" s="6" t="s">
        <v>3488</v>
      </c>
    </row>
    <row r="118" customFormat="false" ht="15" hidden="false" customHeight="false" outlineLevel="0" collapsed="false">
      <c r="A118" s="5" t="s">
        <v>34</v>
      </c>
      <c r="B118" s="5" t="s">
        <v>1576</v>
      </c>
      <c r="C118" s="5" t="s">
        <v>1577</v>
      </c>
      <c r="D118" s="6" t="s">
        <v>3489</v>
      </c>
      <c r="E118" s="5" t="s">
        <v>3490</v>
      </c>
      <c r="F118" s="5" t="s">
        <v>3491</v>
      </c>
      <c r="G118" s="6" t="s">
        <v>3492</v>
      </c>
    </row>
    <row r="119" customFormat="false" ht="15" hidden="false" customHeight="false" outlineLevel="0" collapsed="false">
      <c r="A119" s="5" t="s">
        <v>34</v>
      </c>
      <c r="B119" s="5" t="s">
        <v>1576</v>
      </c>
      <c r="C119" s="5" t="s">
        <v>1577</v>
      </c>
      <c r="D119" s="6" t="s">
        <v>3493</v>
      </c>
      <c r="E119" s="5" t="s">
        <v>3494</v>
      </c>
      <c r="F119" s="5" t="s">
        <v>3491</v>
      </c>
      <c r="G119" s="6" t="s">
        <v>3495</v>
      </c>
    </row>
    <row r="120" customFormat="false" ht="15" hidden="false" customHeight="false" outlineLevel="0" collapsed="false">
      <c r="A120" s="5" t="s">
        <v>34</v>
      </c>
      <c r="B120" s="5" t="s">
        <v>1576</v>
      </c>
      <c r="C120" s="5" t="s">
        <v>1577</v>
      </c>
      <c r="D120" s="6" t="s">
        <v>3496</v>
      </c>
      <c r="E120" s="5" t="s">
        <v>3497</v>
      </c>
      <c r="F120" s="5" t="s">
        <v>3491</v>
      </c>
      <c r="G120" s="6" t="s">
        <v>3498</v>
      </c>
    </row>
    <row r="121" customFormat="false" ht="15" hidden="false" customHeight="false" outlineLevel="0" collapsed="false">
      <c r="A121" s="5" t="s">
        <v>34</v>
      </c>
      <c r="B121" s="5" t="s">
        <v>1576</v>
      </c>
      <c r="C121" s="5" t="s">
        <v>1577</v>
      </c>
      <c r="D121" s="6" t="s">
        <v>3499</v>
      </c>
      <c r="E121" s="5" t="s">
        <v>3500</v>
      </c>
      <c r="F121" s="5" t="s">
        <v>3491</v>
      </c>
      <c r="G121" s="6" t="s">
        <v>3501</v>
      </c>
    </row>
    <row r="122" customFormat="false" ht="15" hidden="false" customHeight="false" outlineLevel="0" collapsed="false">
      <c r="A122" s="5" t="s">
        <v>34</v>
      </c>
      <c r="B122" s="5" t="s">
        <v>1576</v>
      </c>
      <c r="C122" s="5" t="s">
        <v>1577</v>
      </c>
      <c r="D122" s="6" t="s">
        <v>3502</v>
      </c>
      <c r="E122" s="5" t="s">
        <v>3503</v>
      </c>
      <c r="F122" s="5" t="s">
        <v>3491</v>
      </c>
      <c r="G122" s="6" t="s">
        <v>3504</v>
      </c>
    </row>
    <row r="123" customFormat="false" ht="15" hidden="false" customHeight="false" outlineLevel="0" collapsed="false">
      <c r="A123" s="5" t="s">
        <v>34</v>
      </c>
      <c r="B123" s="5" t="s">
        <v>1576</v>
      </c>
      <c r="C123" s="5" t="s">
        <v>1577</v>
      </c>
      <c r="D123" s="6" t="s">
        <v>3505</v>
      </c>
      <c r="E123" s="5" t="s">
        <v>3506</v>
      </c>
      <c r="F123" s="5" t="s">
        <v>3491</v>
      </c>
      <c r="G123" s="6" t="s">
        <v>3507</v>
      </c>
    </row>
    <row r="124" customFormat="false" ht="15" hidden="false" customHeight="false" outlineLevel="0" collapsed="false">
      <c r="A124" s="5" t="s">
        <v>34</v>
      </c>
      <c r="B124" s="5" t="s">
        <v>1576</v>
      </c>
      <c r="C124" s="5" t="s">
        <v>1577</v>
      </c>
      <c r="D124" s="6" t="s">
        <v>3508</v>
      </c>
      <c r="E124" s="5" t="s">
        <v>3509</v>
      </c>
      <c r="F124" s="5" t="s">
        <v>3491</v>
      </c>
      <c r="G124" s="6" t="s">
        <v>3510</v>
      </c>
    </row>
    <row r="125" customFormat="false" ht="15" hidden="false" customHeight="false" outlineLevel="0" collapsed="false">
      <c r="A125" s="5" t="s">
        <v>34</v>
      </c>
      <c r="B125" s="5" t="s">
        <v>1576</v>
      </c>
      <c r="C125" s="5" t="s">
        <v>1577</v>
      </c>
      <c r="D125" s="6" t="s">
        <v>3511</v>
      </c>
      <c r="E125" s="5" t="s">
        <v>3512</v>
      </c>
      <c r="F125" s="5" t="s">
        <v>3491</v>
      </c>
      <c r="G125" s="6" t="s">
        <v>3513</v>
      </c>
    </row>
    <row r="126" customFormat="false" ht="15" hidden="false" customHeight="false" outlineLevel="0" collapsed="false">
      <c r="A126" s="5" t="s">
        <v>34</v>
      </c>
      <c r="B126" s="5" t="s">
        <v>1576</v>
      </c>
      <c r="C126" s="5" t="s">
        <v>1577</v>
      </c>
      <c r="D126" s="6" t="s">
        <v>3514</v>
      </c>
      <c r="E126" s="5" t="s">
        <v>3515</v>
      </c>
      <c r="F126" s="5" t="s">
        <v>3516</v>
      </c>
      <c r="G126" s="6" t="s">
        <v>3517</v>
      </c>
    </row>
    <row r="127" customFormat="false" ht="15" hidden="false" customHeight="false" outlineLevel="0" collapsed="false">
      <c r="A127" s="5" t="s">
        <v>34</v>
      </c>
      <c r="B127" s="5" t="s">
        <v>1576</v>
      </c>
      <c r="C127" s="5" t="s">
        <v>1577</v>
      </c>
      <c r="D127" s="6" t="s">
        <v>3518</v>
      </c>
      <c r="E127" s="5" t="s">
        <v>3519</v>
      </c>
      <c r="F127" s="5" t="s">
        <v>3516</v>
      </c>
      <c r="G127" s="6" t="s">
        <v>3520</v>
      </c>
    </row>
    <row r="128" customFormat="false" ht="15" hidden="false" customHeight="false" outlineLevel="0" collapsed="false">
      <c r="A128" s="5" t="s">
        <v>34</v>
      </c>
      <c r="B128" s="5" t="s">
        <v>1576</v>
      </c>
      <c r="C128" s="5" t="s">
        <v>1577</v>
      </c>
      <c r="D128" s="6" t="s">
        <v>3521</v>
      </c>
      <c r="E128" s="5" t="s">
        <v>3522</v>
      </c>
      <c r="F128" s="5" t="s">
        <v>3516</v>
      </c>
      <c r="G128" s="6" t="s">
        <v>3523</v>
      </c>
    </row>
    <row r="129" customFormat="false" ht="15" hidden="false" customHeight="false" outlineLevel="0" collapsed="false">
      <c r="A129" s="5" t="s">
        <v>34</v>
      </c>
      <c r="B129" s="5" t="s">
        <v>1576</v>
      </c>
      <c r="C129" s="5" t="s">
        <v>1577</v>
      </c>
      <c r="D129" s="6" t="s">
        <v>3524</v>
      </c>
      <c r="E129" s="5" t="s">
        <v>3525</v>
      </c>
      <c r="F129" s="5" t="s">
        <v>3516</v>
      </c>
      <c r="G129" s="6" t="s">
        <v>3526</v>
      </c>
    </row>
    <row r="130" customFormat="false" ht="15" hidden="false" customHeight="false" outlineLevel="0" collapsed="false">
      <c r="A130" s="5" t="s">
        <v>34</v>
      </c>
      <c r="B130" s="5" t="s">
        <v>1576</v>
      </c>
      <c r="C130" s="5" t="s">
        <v>1577</v>
      </c>
      <c r="D130" s="6" t="s">
        <v>3527</v>
      </c>
      <c r="E130" s="5" t="s">
        <v>3528</v>
      </c>
      <c r="F130" s="5" t="s">
        <v>3516</v>
      </c>
      <c r="G130" s="6" t="s">
        <v>3529</v>
      </c>
    </row>
    <row r="131" customFormat="false" ht="15" hidden="false" customHeight="false" outlineLevel="0" collapsed="false">
      <c r="A131" s="5" t="s">
        <v>34</v>
      </c>
      <c r="B131" s="5" t="s">
        <v>1576</v>
      </c>
      <c r="C131" s="5" t="s">
        <v>1577</v>
      </c>
      <c r="D131" s="6" t="s">
        <v>3530</v>
      </c>
      <c r="E131" s="5" t="s">
        <v>3531</v>
      </c>
      <c r="F131" s="5" t="s">
        <v>3516</v>
      </c>
      <c r="G131" s="6" t="s">
        <v>3532</v>
      </c>
    </row>
    <row r="132" customFormat="false" ht="15" hidden="false" customHeight="false" outlineLevel="0" collapsed="false">
      <c r="A132" s="5" t="s">
        <v>34</v>
      </c>
      <c r="B132" s="5" t="s">
        <v>1576</v>
      </c>
      <c r="C132" s="5" t="s">
        <v>1577</v>
      </c>
      <c r="D132" s="6" t="s">
        <v>3533</v>
      </c>
      <c r="E132" s="5" t="s">
        <v>3534</v>
      </c>
      <c r="F132" s="5" t="s">
        <v>3516</v>
      </c>
      <c r="G132" s="6" t="s">
        <v>3535</v>
      </c>
    </row>
    <row r="133" customFormat="false" ht="15" hidden="false" customHeight="false" outlineLevel="0" collapsed="false">
      <c r="A133" s="5" t="s">
        <v>34</v>
      </c>
      <c r="B133" s="5" t="s">
        <v>152</v>
      </c>
      <c r="C133" s="5" t="s">
        <v>1407</v>
      </c>
      <c r="D133" s="6" t="s">
        <v>3536</v>
      </c>
      <c r="E133" s="5" t="s">
        <v>3537</v>
      </c>
      <c r="F133" s="5"/>
      <c r="G133" s="6" t="s">
        <v>3538</v>
      </c>
    </row>
    <row r="134" customFormat="false" ht="15" hidden="false" customHeight="false" outlineLevel="0" collapsed="false">
      <c r="A134" s="5" t="s">
        <v>34</v>
      </c>
      <c r="B134" s="5" t="s">
        <v>152</v>
      </c>
      <c r="C134" s="5" t="s">
        <v>1407</v>
      </c>
      <c r="D134" s="6" t="s">
        <v>3539</v>
      </c>
      <c r="E134" s="5" t="s">
        <v>3540</v>
      </c>
      <c r="F134" s="5"/>
      <c r="G134" s="6" t="s">
        <v>3541</v>
      </c>
    </row>
    <row r="135" customFormat="false" ht="15" hidden="false" customHeight="false" outlineLevel="0" collapsed="false">
      <c r="A135" s="5" t="s">
        <v>34</v>
      </c>
      <c r="B135" s="5" t="s">
        <v>152</v>
      </c>
      <c r="C135" s="5" t="s">
        <v>1407</v>
      </c>
      <c r="D135" s="6" t="s">
        <v>3542</v>
      </c>
      <c r="E135" s="5" t="s">
        <v>3543</v>
      </c>
      <c r="F135" s="5"/>
      <c r="G135" s="6" t="s">
        <v>3544</v>
      </c>
    </row>
    <row r="136" customFormat="false" ht="15" hidden="false" customHeight="false" outlineLevel="0" collapsed="false">
      <c r="A136" s="5" t="s">
        <v>34</v>
      </c>
      <c r="B136" s="5" t="s">
        <v>1674</v>
      </c>
      <c r="C136" s="5" t="s">
        <v>1675</v>
      </c>
      <c r="D136" s="6" t="s">
        <v>3297</v>
      </c>
      <c r="E136" s="5" t="s">
        <v>3297</v>
      </c>
      <c r="F136" s="5"/>
      <c r="G136" s="6" t="s">
        <v>3545</v>
      </c>
    </row>
    <row r="137" customFormat="false" ht="15" hidden="false" customHeight="false" outlineLevel="0" collapsed="false">
      <c r="A137" s="5" t="s">
        <v>34</v>
      </c>
      <c r="B137" s="5" t="s">
        <v>1674</v>
      </c>
      <c r="C137" s="5" t="s">
        <v>1675</v>
      </c>
      <c r="D137" s="6" t="s">
        <v>3546</v>
      </c>
      <c r="E137" s="5" t="s">
        <v>3546</v>
      </c>
      <c r="F137" s="5"/>
      <c r="G137" s="6" t="s">
        <v>3547</v>
      </c>
    </row>
    <row r="138" customFormat="false" ht="15" hidden="false" customHeight="false" outlineLevel="0" collapsed="false">
      <c r="A138" s="5" t="s">
        <v>34</v>
      </c>
      <c r="B138" s="5" t="s">
        <v>1674</v>
      </c>
      <c r="C138" s="5" t="s">
        <v>1675</v>
      </c>
      <c r="D138" s="6" t="s">
        <v>3548</v>
      </c>
      <c r="E138" s="5" t="s">
        <v>3548</v>
      </c>
      <c r="F138" s="5"/>
      <c r="G138" s="6" t="s">
        <v>3549</v>
      </c>
    </row>
    <row r="139" customFormat="false" ht="15" hidden="false" customHeight="false" outlineLevel="0" collapsed="false">
      <c r="A139" s="5" t="s">
        <v>34</v>
      </c>
      <c r="B139" s="5" t="s">
        <v>1674</v>
      </c>
      <c r="C139" s="5" t="s">
        <v>1675</v>
      </c>
      <c r="D139" s="6" t="s">
        <v>3550</v>
      </c>
      <c r="E139" s="5" t="s">
        <v>3550</v>
      </c>
      <c r="F139" s="5"/>
      <c r="G139" s="6" t="s">
        <v>3551</v>
      </c>
    </row>
    <row r="140" customFormat="false" ht="15" hidden="false" customHeight="false" outlineLevel="0" collapsed="false">
      <c r="A140" s="5" t="s">
        <v>34</v>
      </c>
      <c r="B140" s="5" t="s">
        <v>1674</v>
      </c>
      <c r="C140" s="5" t="s">
        <v>1675</v>
      </c>
      <c r="D140" s="6" t="s">
        <v>3552</v>
      </c>
      <c r="E140" s="5" t="s">
        <v>3552</v>
      </c>
      <c r="F140" s="5"/>
      <c r="G140" s="6" t="s">
        <v>3553</v>
      </c>
    </row>
    <row r="141" customFormat="false" ht="15" hidden="false" customHeight="false" outlineLevel="0" collapsed="false">
      <c r="A141" s="5" t="s">
        <v>34</v>
      </c>
      <c r="B141" s="5" t="s">
        <v>1674</v>
      </c>
      <c r="C141" s="5" t="s">
        <v>1675</v>
      </c>
      <c r="D141" s="6" t="s">
        <v>3554</v>
      </c>
      <c r="E141" s="5" t="s">
        <v>3554</v>
      </c>
      <c r="F141" s="5"/>
      <c r="G141" s="6" t="s">
        <v>3555</v>
      </c>
    </row>
    <row r="142" customFormat="false" ht="15" hidden="false" customHeight="false" outlineLevel="0" collapsed="false">
      <c r="A142" s="5" t="s">
        <v>34</v>
      </c>
      <c r="B142" s="5" t="s">
        <v>272</v>
      </c>
      <c r="C142" s="5" t="s">
        <v>1757</v>
      </c>
      <c r="D142" s="6" t="s">
        <v>3556</v>
      </c>
      <c r="E142" s="5" t="s">
        <v>3557</v>
      </c>
      <c r="F142" s="5"/>
      <c r="G142" s="6" t="s">
        <v>3558</v>
      </c>
    </row>
    <row r="143" customFormat="false" ht="15" hidden="false" customHeight="false" outlineLevel="0" collapsed="false">
      <c r="A143" s="5" t="s">
        <v>34</v>
      </c>
      <c r="B143" s="5" t="s">
        <v>272</v>
      </c>
      <c r="C143" s="5" t="s">
        <v>1757</v>
      </c>
      <c r="D143" s="6" t="s">
        <v>3559</v>
      </c>
      <c r="E143" s="5" t="s">
        <v>3560</v>
      </c>
      <c r="F143" s="5"/>
      <c r="G143" s="6" t="s">
        <v>3561</v>
      </c>
    </row>
    <row r="144" customFormat="false" ht="15" hidden="false" customHeight="false" outlineLevel="0" collapsed="false">
      <c r="A144" s="5" t="s">
        <v>34</v>
      </c>
      <c r="B144" s="5" t="s">
        <v>272</v>
      </c>
      <c r="C144" s="5" t="s">
        <v>1757</v>
      </c>
      <c r="D144" s="6" t="s">
        <v>3562</v>
      </c>
      <c r="E144" s="5" t="s">
        <v>3563</v>
      </c>
      <c r="F144" s="5"/>
      <c r="G144" s="6" t="s">
        <v>3564</v>
      </c>
    </row>
    <row r="145" customFormat="false" ht="15" hidden="false" customHeight="false" outlineLevel="0" collapsed="false">
      <c r="A145" s="5" t="s">
        <v>34</v>
      </c>
      <c r="B145" s="5" t="s">
        <v>1651</v>
      </c>
      <c r="C145" s="5" t="s">
        <v>1652</v>
      </c>
      <c r="D145" s="6" t="s">
        <v>3565</v>
      </c>
      <c r="E145" s="5" t="s">
        <v>3566</v>
      </c>
      <c r="F145" s="5"/>
      <c r="G145" s="6" t="s">
        <v>3567</v>
      </c>
    </row>
    <row r="146" customFormat="false" ht="15" hidden="false" customHeight="false" outlineLevel="0" collapsed="false">
      <c r="A146" s="5" t="s">
        <v>34</v>
      </c>
      <c r="B146" s="5" t="s">
        <v>1651</v>
      </c>
      <c r="C146" s="5" t="s">
        <v>1652</v>
      </c>
      <c r="D146" s="6" t="s">
        <v>3568</v>
      </c>
      <c r="E146" s="5" t="s">
        <v>3568</v>
      </c>
      <c r="F146" s="5"/>
      <c r="G146" s="6" t="s">
        <v>3569</v>
      </c>
    </row>
    <row r="147" customFormat="false" ht="15" hidden="false" customHeight="false" outlineLevel="0" collapsed="false">
      <c r="A147" s="5" t="s">
        <v>34</v>
      </c>
      <c r="B147" s="5" t="s">
        <v>1651</v>
      </c>
      <c r="C147" s="5" t="s">
        <v>1652</v>
      </c>
      <c r="D147" s="6" t="s">
        <v>3570</v>
      </c>
      <c r="E147" s="5" t="s">
        <v>3570</v>
      </c>
      <c r="F147" s="5"/>
      <c r="G147" s="6" t="s">
        <v>3571</v>
      </c>
    </row>
    <row r="148" customFormat="false" ht="15" hidden="false" customHeight="false" outlineLevel="0" collapsed="false">
      <c r="A148" s="5" t="s">
        <v>34</v>
      </c>
      <c r="B148" s="5" t="s">
        <v>1651</v>
      </c>
      <c r="C148" s="5" t="s">
        <v>1652</v>
      </c>
      <c r="D148" s="6" t="s">
        <v>3572</v>
      </c>
      <c r="E148" s="5" t="s">
        <v>3572</v>
      </c>
      <c r="F148" s="5"/>
      <c r="G148" s="6" t="s">
        <v>3573</v>
      </c>
    </row>
    <row r="149" customFormat="false" ht="15" hidden="false" customHeight="false" outlineLevel="0" collapsed="false">
      <c r="A149" s="5" t="s">
        <v>34</v>
      </c>
      <c r="B149" s="5" t="s">
        <v>1651</v>
      </c>
      <c r="C149" s="5" t="s">
        <v>1652</v>
      </c>
      <c r="D149" s="6" t="s">
        <v>3574</v>
      </c>
      <c r="E149" s="5" t="s">
        <v>3574</v>
      </c>
      <c r="F149" s="5"/>
      <c r="G149" s="6" t="s">
        <v>3575</v>
      </c>
    </row>
    <row r="150" customFormat="false" ht="15" hidden="false" customHeight="false" outlineLevel="0" collapsed="false">
      <c r="A150" s="5" t="s">
        <v>34</v>
      </c>
      <c r="B150" s="5" t="s">
        <v>1658</v>
      </c>
      <c r="C150" s="5" t="s">
        <v>1659</v>
      </c>
      <c r="D150" s="6" t="s">
        <v>3576</v>
      </c>
      <c r="E150" s="5" t="s">
        <v>3576</v>
      </c>
      <c r="F150" s="5"/>
      <c r="G150" s="6" t="s">
        <v>3577</v>
      </c>
    </row>
    <row r="151" customFormat="false" ht="15" hidden="false" customHeight="false" outlineLevel="0" collapsed="false">
      <c r="A151" s="5" t="s">
        <v>34</v>
      </c>
      <c r="B151" s="5" t="s">
        <v>1658</v>
      </c>
      <c r="C151" s="5" t="s">
        <v>1659</v>
      </c>
      <c r="D151" s="6" t="s">
        <v>3578</v>
      </c>
      <c r="E151" s="5" t="s">
        <v>3578</v>
      </c>
      <c r="F151" s="5"/>
      <c r="G151" s="6" t="s">
        <v>3579</v>
      </c>
    </row>
    <row r="152" customFormat="false" ht="15" hidden="false" customHeight="false" outlineLevel="0" collapsed="false">
      <c r="A152" s="5" t="s">
        <v>34</v>
      </c>
      <c r="B152" s="5" t="s">
        <v>1658</v>
      </c>
      <c r="C152" s="5" t="s">
        <v>1659</v>
      </c>
      <c r="D152" s="6" t="s">
        <v>3580</v>
      </c>
      <c r="E152" s="5" t="s">
        <v>3580</v>
      </c>
      <c r="F152" s="5"/>
      <c r="G152" s="6" t="s">
        <v>3581</v>
      </c>
    </row>
    <row r="153" customFormat="false" ht="22.35" hidden="false" customHeight="false" outlineLevel="0" collapsed="false">
      <c r="A153" s="5" t="s">
        <v>34</v>
      </c>
      <c r="B153" s="5" t="s">
        <v>1658</v>
      </c>
      <c r="C153" s="5" t="s">
        <v>1659</v>
      </c>
      <c r="D153" s="6" t="s">
        <v>3582</v>
      </c>
      <c r="E153" s="5" t="s">
        <v>3582</v>
      </c>
      <c r="F153" s="5"/>
      <c r="G153" s="6" t="s">
        <v>3583</v>
      </c>
    </row>
    <row r="154" customFormat="false" ht="15" hidden="false" customHeight="false" outlineLevel="0" collapsed="false">
      <c r="A154" s="5" t="s">
        <v>34</v>
      </c>
      <c r="B154" s="5" t="s">
        <v>1658</v>
      </c>
      <c r="C154" s="5" t="s">
        <v>1659</v>
      </c>
      <c r="D154" s="6" t="s">
        <v>3584</v>
      </c>
      <c r="E154" s="5" t="s">
        <v>3584</v>
      </c>
      <c r="F154" s="5"/>
      <c r="G154" s="6" t="s">
        <v>3585</v>
      </c>
    </row>
    <row r="155" customFormat="false" ht="15" hidden="false" customHeight="false" outlineLevel="0" collapsed="false">
      <c r="A155" s="5" t="s">
        <v>34</v>
      </c>
      <c r="B155" s="5" t="s">
        <v>205</v>
      </c>
      <c r="C155" s="5" t="s">
        <v>565</v>
      </c>
      <c r="D155" s="6" t="s">
        <v>3586</v>
      </c>
      <c r="E155" s="5" t="s">
        <v>3587</v>
      </c>
      <c r="F155" s="5"/>
      <c r="G155" s="6" t="s">
        <v>3588</v>
      </c>
    </row>
    <row r="156" customFormat="false" ht="15" hidden="false" customHeight="false" outlineLevel="0" collapsed="false">
      <c r="A156" s="5" t="s">
        <v>34</v>
      </c>
      <c r="B156" s="5" t="s">
        <v>205</v>
      </c>
      <c r="C156" s="5" t="s">
        <v>565</v>
      </c>
      <c r="D156" s="6" t="s">
        <v>3589</v>
      </c>
      <c r="E156" s="5" t="s">
        <v>3590</v>
      </c>
      <c r="F156" s="5"/>
      <c r="G156" s="6" t="s">
        <v>3591</v>
      </c>
    </row>
    <row r="157" customFormat="false" ht="15" hidden="false" customHeight="false" outlineLevel="0" collapsed="false">
      <c r="A157" s="5" t="s">
        <v>34</v>
      </c>
      <c r="B157" s="5" t="s">
        <v>205</v>
      </c>
      <c r="C157" s="5" t="s">
        <v>565</v>
      </c>
      <c r="D157" s="6" t="s">
        <v>3592</v>
      </c>
      <c r="E157" s="5" t="s">
        <v>3593</v>
      </c>
      <c r="F157" s="5"/>
      <c r="G157" s="6" t="s">
        <v>3594</v>
      </c>
    </row>
    <row r="158" customFormat="false" ht="15" hidden="false" customHeight="false" outlineLevel="0" collapsed="false">
      <c r="A158" s="5" t="s">
        <v>34</v>
      </c>
      <c r="B158" s="5" t="s">
        <v>1606</v>
      </c>
      <c r="C158" s="5" t="s">
        <v>1607</v>
      </c>
      <c r="D158" s="6" t="s">
        <v>3595</v>
      </c>
      <c r="E158" s="5" t="s">
        <v>3595</v>
      </c>
      <c r="F158" s="5"/>
      <c r="G158" s="6" t="s">
        <v>3596</v>
      </c>
    </row>
    <row r="159" customFormat="false" ht="15" hidden="false" customHeight="false" outlineLevel="0" collapsed="false">
      <c r="A159" s="5" t="s">
        <v>34</v>
      </c>
      <c r="B159" s="5" t="s">
        <v>1606</v>
      </c>
      <c r="C159" s="5" t="s">
        <v>1607</v>
      </c>
      <c r="D159" s="6" t="s">
        <v>3597</v>
      </c>
      <c r="E159" s="5" t="s">
        <v>3597</v>
      </c>
      <c r="F159" s="5"/>
      <c r="G159" s="6" t="s">
        <v>3598</v>
      </c>
    </row>
    <row r="160" customFormat="false" ht="15" hidden="false" customHeight="false" outlineLevel="0" collapsed="false">
      <c r="A160" s="5" t="s">
        <v>34</v>
      </c>
      <c r="B160" s="5" t="s">
        <v>1625</v>
      </c>
      <c r="C160" s="5" t="s">
        <v>1626</v>
      </c>
      <c r="D160" s="6" t="s">
        <v>3595</v>
      </c>
      <c r="E160" s="5" t="s">
        <v>3595</v>
      </c>
      <c r="F160" s="5"/>
      <c r="G160" s="6" t="s">
        <v>3599</v>
      </c>
    </row>
    <row r="161" customFormat="false" ht="15" hidden="false" customHeight="false" outlineLevel="0" collapsed="false">
      <c r="A161" s="5" t="s">
        <v>34</v>
      </c>
      <c r="B161" s="5" t="s">
        <v>1625</v>
      </c>
      <c r="C161" s="5" t="s">
        <v>1626</v>
      </c>
      <c r="D161" s="6" t="s">
        <v>3597</v>
      </c>
      <c r="E161" s="5" t="s">
        <v>3597</v>
      </c>
      <c r="F161" s="5"/>
      <c r="G161" s="6" t="s">
        <v>3600</v>
      </c>
    </row>
    <row r="162" customFormat="false" ht="15" hidden="false" customHeight="false" outlineLevel="0" collapsed="false">
      <c r="A162" s="5" t="s">
        <v>34</v>
      </c>
      <c r="B162" s="5" t="s">
        <v>1620</v>
      </c>
      <c r="C162" s="5" t="s">
        <v>1621</v>
      </c>
      <c r="D162" s="6" t="s">
        <v>3595</v>
      </c>
      <c r="E162" s="5" t="s">
        <v>3595</v>
      </c>
      <c r="F162" s="5"/>
      <c r="G162" s="6" t="s">
        <v>3601</v>
      </c>
    </row>
    <row r="163" customFormat="false" ht="15" hidden="false" customHeight="false" outlineLevel="0" collapsed="false">
      <c r="A163" s="5" t="s">
        <v>34</v>
      </c>
      <c r="B163" s="5" t="s">
        <v>1620</v>
      </c>
      <c r="C163" s="5" t="s">
        <v>1621</v>
      </c>
      <c r="D163" s="6" t="s">
        <v>3597</v>
      </c>
      <c r="E163" s="5" t="s">
        <v>3597</v>
      </c>
      <c r="F163" s="5"/>
      <c r="G163" s="6" t="s">
        <v>3602</v>
      </c>
    </row>
    <row r="164" customFormat="false" ht="15" hidden="false" customHeight="false" outlineLevel="0" collapsed="false">
      <c r="A164" s="5" t="s">
        <v>34</v>
      </c>
      <c r="B164" s="5" t="s">
        <v>1635</v>
      </c>
      <c r="C164" s="5" t="s">
        <v>1636</v>
      </c>
      <c r="D164" s="6" t="s">
        <v>3595</v>
      </c>
      <c r="E164" s="5" t="s">
        <v>3595</v>
      </c>
      <c r="F164" s="5"/>
      <c r="G164" s="6" t="s">
        <v>3603</v>
      </c>
    </row>
    <row r="165" customFormat="false" ht="15" hidden="false" customHeight="false" outlineLevel="0" collapsed="false">
      <c r="A165" s="5" t="s">
        <v>34</v>
      </c>
      <c r="B165" s="5" t="s">
        <v>1635</v>
      </c>
      <c r="C165" s="5" t="s">
        <v>1636</v>
      </c>
      <c r="D165" s="6" t="s">
        <v>3597</v>
      </c>
      <c r="E165" s="5" t="s">
        <v>3597</v>
      </c>
      <c r="F165" s="5"/>
      <c r="G165" s="6" t="s">
        <v>3604</v>
      </c>
    </row>
    <row r="166" customFormat="false" ht="22.35" hidden="false" customHeight="false" outlineLevel="0" collapsed="false">
      <c r="A166" s="5" t="s">
        <v>34</v>
      </c>
      <c r="B166" s="5" t="s">
        <v>188</v>
      </c>
      <c r="C166" s="5" t="s">
        <v>588</v>
      </c>
      <c r="D166" s="6" t="s">
        <v>3605</v>
      </c>
      <c r="E166" s="5" t="s">
        <v>3605</v>
      </c>
      <c r="F166" s="5"/>
      <c r="G166" s="6" t="s">
        <v>3606</v>
      </c>
    </row>
    <row r="167" customFormat="false" ht="15" hidden="false" customHeight="false" outlineLevel="0" collapsed="false">
      <c r="A167" s="5" t="s">
        <v>34</v>
      </c>
      <c r="B167" s="5" t="s">
        <v>188</v>
      </c>
      <c r="C167" s="5" t="s">
        <v>588</v>
      </c>
      <c r="D167" s="6" t="s">
        <v>3607</v>
      </c>
      <c r="E167" s="5" t="s">
        <v>3607</v>
      </c>
      <c r="F167" s="5"/>
      <c r="G167" s="6" t="s">
        <v>3608</v>
      </c>
    </row>
    <row r="168" customFormat="false" ht="15" hidden="false" customHeight="false" outlineLevel="0" collapsed="false">
      <c r="A168" s="5" t="s">
        <v>34</v>
      </c>
      <c r="B168" s="5" t="s">
        <v>188</v>
      </c>
      <c r="C168" s="5" t="s">
        <v>588</v>
      </c>
      <c r="D168" s="6" t="s">
        <v>3609</v>
      </c>
      <c r="E168" s="5" t="s">
        <v>3609</v>
      </c>
      <c r="F168" s="5"/>
      <c r="G168" s="6" t="s">
        <v>3610</v>
      </c>
    </row>
    <row r="169" customFormat="false" ht="15" hidden="false" customHeight="false" outlineLevel="0" collapsed="false">
      <c r="A169" s="5" t="s">
        <v>34</v>
      </c>
      <c r="B169" s="5" t="s">
        <v>188</v>
      </c>
      <c r="C169" s="5" t="s">
        <v>588</v>
      </c>
      <c r="D169" s="6" t="s">
        <v>3611</v>
      </c>
      <c r="E169" s="5" t="s">
        <v>3611</v>
      </c>
      <c r="F169" s="5"/>
      <c r="G169" s="6" t="s">
        <v>3612</v>
      </c>
    </row>
    <row r="170" customFormat="false" ht="15" hidden="false" customHeight="false" outlineLevel="0" collapsed="false">
      <c r="A170" s="5" t="s">
        <v>34</v>
      </c>
      <c r="B170" s="5" t="s">
        <v>188</v>
      </c>
      <c r="C170" s="5" t="s">
        <v>588</v>
      </c>
      <c r="D170" s="6" t="s">
        <v>3613</v>
      </c>
      <c r="E170" s="5" t="s">
        <v>3613</v>
      </c>
      <c r="F170" s="5"/>
      <c r="G170" s="6" t="s">
        <v>3614</v>
      </c>
    </row>
    <row r="171" customFormat="false" ht="15" hidden="false" customHeight="false" outlineLevel="0" collapsed="false">
      <c r="A171" s="5" t="s">
        <v>34</v>
      </c>
      <c r="B171" s="5" t="s">
        <v>582</v>
      </c>
      <c r="C171" s="5" t="s">
        <v>583</v>
      </c>
      <c r="D171" s="6" t="s">
        <v>3615</v>
      </c>
      <c r="E171" s="5" t="s">
        <v>3615</v>
      </c>
      <c r="F171" s="5"/>
      <c r="G171" s="6" t="s">
        <v>3616</v>
      </c>
    </row>
    <row r="172" customFormat="false" ht="15" hidden="false" customHeight="false" outlineLevel="0" collapsed="false">
      <c r="A172" s="5" t="s">
        <v>34</v>
      </c>
      <c r="B172" s="5" t="s">
        <v>582</v>
      </c>
      <c r="C172" s="5" t="s">
        <v>583</v>
      </c>
      <c r="D172" s="6" t="s">
        <v>3617</v>
      </c>
      <c r="E172" s="5" t="s">
        <v>3617</v>
      </c>
      <c r="F172" s="5"/>
      <c r="G172" s="6" t="s">
        <v>3618</v>
      </c>
    </row>
    <row r="173" customFormat="false" ht="15" hidden="false" customHeight="false" outlineLevel="0" collapsed="false">
      <c r="A173" s="5" t="s">
        <v>34</v>
      </c>
      <c r="B173" s="5" t="s">
        <v>175</v>
      </c>
      <c r="C173" s="5" t="s">
        <v>592</v>
      </c>
      <c r="D173" s="6" t="s">
        <v>3619</v>
      </c>
      <c r="E173" s="5" t="s">
        <v>3619</v>
      </c>
      <c r="F173" s="5"/>
      <c r="G173" s="6" t="s">
        <v>3620</v>
      </c>
    </row>
    <row r="174" customFormat="false" ht="15" hidden="false" customHeight="false" outlineLevel="0" collapsed="false">
      <c r="A174" s="5" t="s">
        <v>34</v>
      </c>
      <c r="B174" s="5" t="s">
        <v>175</v>
      </c>
      <c r="C174" s="5" t="s">
        <v>592</v>
      </c>
      <c r="D174" s="6" t="s">
        <v>3621</v>
      </c>
      <c r="E174" s="5" t="s">
        <v>3621</v>
      </c>
      <c r="F174" s="5"/>
      <c r="G174" s="6" t="s">
        <v>3622</v>
      </c>
    </row>
    <row r="175" customFormat="false" ht="15" hidden="false" customHeight="false" outlineLevel="0" collapsed="false">
      <c r="A175" s="5" t="s">
        <v>34</v>
      </c>
      <c r="B175" s="5" t="s">
        <v>175</v>
      </c>
      <c r="C175" s="5" t="s">
        <v>592</v>
      </c>
      <c r="D175" s="6" t="s">
        <v>3623</v>
      </c>
      <c r="E175" s="5" t="s">
        <v>3623</v>
      </c>
      <c r="F175" s="5"/>
      <c r="G175" s="6" t="s">
        <v>3624</v>
      </c>
    </row>
    <row r="176" customFormat="false" ht="15" hidden="false" customHeight="false" outlineLevel="0" collapsed="false">
      <c r="A176" s="5" t="s">
        <v>34</v>
      </c>
      <c r="B176" s="5" t="s">
        <v>175</v>
      </c>
      <c r="C176" s="5" t="s">
        <v>592</v>
      </c>
      <c r="D176" s="6" t="s">
        <v>3625</v>
      </c>
      <c r="E176" s="5" t="s">
        <v>3625</v>
      </c>
      <c r="F176" s="5"/>
      <c r="G176" s="6" t="s">
        <v>3626</v>
      </c>
    </row>
    <row r="177" customFormat="false" ht="15" hidden="false" customHeight="false" outlineLevel="0" collapsed="false">
      <c r="A177" s="5" t="s">
        <v>34</v>
      </c>
      <c r="B177" s="5" t="s">
        <v>602</v>
      </c>
      <c r="C177" s="5" t="s">
        <v>603</v>
      </c>
      <c r="D177" s="6" t="s">
        <v>3627</v>
      </c>
      <c r="E177" s="5" t="s">
        <v>3627</v>
      </c>
      <c r="F177" s="5"/>
      <c r="G177" s="6" t="s">
        <v>3628</v>
      </c>
    </row>
    <row r="178" customFormat="false" ht="15" hidden="false" customHeight="false" outlineLevel="0" collapsed="false">
      <c r="A178" s="5" t="s">
        <v>34</v>
      </c>
      <c r="B178" s="5" t="s">
        <v>602</v>
      </c>
      <c r="C178" s="5" t="s">
        <v>603</v>
      </c>
      <c r="D178" s="6" t="s">
        <v>3629</v>
      </c>
      <c r="E178" s="5" t="s">
        <v>3629</v>
      </c>
      <c r="F178" s="5"/>
      <c r="G178" s="6" t="s">
        <v>3630</v>
      </c>
    </row>
    <row r="179" customFormat="false" ht="15" hidden="false" customHeight="false" outlineLevel="0" collapsed="false">
      <c r="A179" s="5" t="s">
        <v>34</v>
      </c>
      <c r="B179" s="5" t="s">
        <v>278</v>
      </c>
      <c r="C179" s="5" t="s">
        <v>1792</v>
      </c>
      <c r="D179" s="6" t="s">
        <v>3631</v>
      </c>
      <c r="E179" s="5" t="s">
        <v>3631</v>
      </c>
      <c r="F179" s="5"/>
      <c r="G179" s="6" t="s">
        <v>3632</v>
      </c>
    </row>
    <row r="180" customFormat="false" ht="15" hidden="false" customHeight="false" outlineLevel="0" collapsed="false">
      <c r="A180" s="5" t="s">
        <v>34</v>
      </c>
      <c r="B180" s="5" t="s">
        <v>278</v>
      </c>
      <c r="C180" s="5" t="s">
        <v>1792</v>
      </c>
      <c r="D180" s="6" t="s">
        <v>3633</v>
      </c>
      <c r="E180" s="5" t="s">
        <v>3633</v>
      </c>
      <c r="F180" s="5"/>
      <c r="G180" s="6" t="s">
        <v>3634</v>
      </c>
    </row>
    <row r="181" customFormat="false" ht="15" hidden="false" customHeight="false" outlineLevel="0" collapsed="false">
      <c r="A181" s="5" t="s">
        <v>34</v>
      </c>
      <c r="B181" s="5" t="s">
        <v>159</v>
      </c>
      <c r="C181" s="5" t="s">
        <v>1453</v>
      </c>
      <c r="D181" s="6" t="s">
        <v>1668</v>
      </c>
      <c r="E181" s="5" t="s">
        <v>1668</v>
      </c>
      <c r="F181" s="5"/>
      <c r="G181" s="6" t="s">
        <v>3635</v>
      </c>
    </row>
    <row r="182" customFormat="false" ht="15" hidden="false" customHeight="false" outlineLevel="0" collapsed="false">
      <c r="A182" s="5" t="s">
        <v>34</v>
      </c>
      <c r="B182" s="5" t="s">
        <v>159</v>
      </c>
      <c r="C182" s="5" t="s">
        <v>1453</v>
      </c>
      <c r="D182" s="6" t="s">
        <v>3636</v>
      </c>
      <c r="E182" s="5" t="s">
        <v>3636</v>
      </c>
      <c r="F182" s="5"/>
      <c r="G182" s="6" t="s">
        <v>3637</v>
      </c>
    </row>
    <row r="183" customFormat="false" ht="15" hidden="false" customHeight="false" outlineLevel="0" collapsed="false">
      <c r="A183" s="5" t="s">
        <v>34</v>
      </c>
      <c r="B183" s="5" t="s">
        <v>159</v>
      </c>
      <c r="C183" s="5" t="s">
        <v>1453</v>
      </c>
      <c r="D183" s="6" t="s">
        <v>3638</v>
      </c>
      <c r="E183" s="5" t="s">
        <v>3638</v>
      </c>
      <c r="F183" s="5"/>
      <c r="G183" s="6" t="s">
        <v>3639</v>
      </c>
    </row>
    <row r="184" customFormat="false" ht="15" hidden="false" customHeight="false" outlineLevel="0" collapsed="false">
      <c r="A184" s="5" t="s">
        <v>34</v>
      </c>
      <c r="B184" s="5" t="s">
        <v>1762</v>
      </c>
      <c r="C184" s="5" t="s">
        <v>1763</v>
      </c>
      <c r="D184" s="6" t="s">
        <v>3331</v>
      </c>
      <c r="E184" s="5" t="s">
        <v>3331</v>
      </c>
      <c r="F184" s="5"/>
      <c r="G184" s="6" t="s">
        <v>3640</v>
      </c>
    </row>
    <row r="185" customFormat="false" ht="15" hidden="false" customHeight="false" outlineLevel="0" collapsed="false">
      <c r="A185" s="5" t="s">
        <v>34</v>
      </c>
      <c r="B185" s="5" t="s">
        <v>1762</v>
      </c>
      <c r="C185" s="5" t="s">
        <v>1763</v>
      </c>
      <c r="D185" s="6" t="s">
        <v>3333</v>
      </c>
      <c r="E185" s="5" t="s">
        <v>3333</v>
      </c>
      <c r="F185" s="5"/>
      <c r="G185" s="6" t="s">
        <v>3641</v>
      </c>
    </row>
    <row r="186" customFormat="false" ht="15" hidden="false" customHeight="false" outlineLevel="0" collapsed="false">
      <c r="A186" s="5" t="s">
        <v>34</v>
      </c>
      <c r="B186" s="5" t="s">
        <v>1802</v>
      </c>
      <c r="C186" s="5" t="s">
        <v>1803</v>
      </c>
      <c r="D186" s="6" t="s">
        <v>3595</v>
      </c>
      <c r="E186" s="5" t="s">
        <v>3331</v>
      </c>
      <c r="F186" s="5"/>
      <c r="G186" s="6" t="s">
        <v>3642</v>
      </c>
    </row>
    <row r="187" customFormat="false" ht="15" hidden="false" customHeight="false" outlineLevel="0" collapsed="false">
      <c r="A187" s="5" t="s">
        <v>34</v>
      </c>
      <c r="B187" s="5" t="s">
        <v>1802</v>
      </c>
      <c r="C187" s="5" t="s">
        <v>1803</v>
      </c>
      <c r="D187" s="6" t="s">
        <v>3597</v>
      </c>
      <c r="E187" s="5" t="s">
        <v>3333</v>
      </c>
      <c r="F187" s="5"/>
      <c r="G187" s="6" t="s">
        <v>3643</v>
      </c>
    </row>
    <row r="188" customFormat="false" ht="15" hidden="false" customHeight="false" outlineLevel="0" collapsed="false">
      <c r="A188" s="5" t="s">
        <v>34</v>
      </c>
      <c r="B188" s="5" t="s">
        <v>1782</v>
      </c>
      <c r="C188" s="5" t="s">
        <v>1783</v>
      </c>
      <c r="D188" s="6" t="s">
        <v>3644</v>
      </c>
      <c r="E188" s="5" t="s">
        <v>3644</v>
      </c>
      <c r="F188" s="5"/>
      <c r="G188" s="6" t="s">
        <v>3645</v>
      </c>
    </row>
    <row r="189" customFormat="false" ht="15" hidden="false" customHeight="false" outlineLevel="0" collapsed="false">
      <c r="A189" s="5" t="s">
        <v>34</v>
      </c>
      <c r="B189" s="5" t="s">
        <v>1782</v>
      </c>
      <c r="C189" s="5" t="s">
        <v>1783</v>
      </c>
      <c r="D189" s="6" t="s">
        <v>3646</v>
      </c>
      <c r="E189" s="5" t="s">
        <v>3646</v>
      </c>
      <c r="F189" s="5"/>
      <c r="G189" s="6" t="s">
        <v>3647</v>
      </c>
    </row>
    <row r="190" customFormat="false" ht="15" hidden="false" customHeight="false" outlineLevel="0" collapsed="false">
      <c r="A190" s="5" t="s">
        <v>34</v>
      </c>
      <c r="B190" s="5" t="s">
        <v>1782</v>
      </c>
      <c r="C190" s="5" t="s">
        <v>1783</v>
      </c>
      <c r="D190" s="6" t="s">
        <v>3648</v>
      </c>
      <c r="E190" s="5" t="s">
        <v>3648</v>
      </c>
      <c r="F190" s="5"/>
      <c r="G190" s="6" t="s">
        <v>3649</v>
      </c>
    </row>
    <row r="191" customFormat="false" ht="15" hidden="false" customHeight="false" outlineLevel="0" collapsed="false">
      <c r="A191" s="5" t="s">
        <v>34</v>
      </c>
      <c r="B191" s="5" t="s">
        <v>1751</v>
      </c>
      <c r="C191" s="5" t="s">
        <v>1752</v>
      </c>
      <c r="D191" s="6" t="s">
        <v>3333</v>
      </c>
      <c r="E191" s="5" t="s">
        <v>3333</v>
      </c>
      <c r="F191" s="5"/>
      <c r="G191" s="6" t="s">
        <v>3650</v>
      </c>
    </row>
    <row r="192" customFormat="false" ht="15" hidden="false" customHeight="false" outlineLevel="0" collapsed="false">
      <c r="A192" s="5" t="s">
        <v>34</v>
      </c>
      <c r="B192" s="5" t="s">
        <v>1751</v>
      </c>
      <c r="C192" s="5" t="s">
        <v>1752</v>
      </c>
      <c r="D192" s="6" t="s">
        <v>3331</v>
      </c>
      <c r="E192" s="5" t="s">
        <v>3331</v>
      </c>
      <c r="F192" s="5"/>
      <c r="G192" s="6" t="s">
        <v>3651</v>
      </c>
    </row>
    <row r="193" customFormat="false" ht="15" hidden="false" customHeight="false" outlineLevel="0" collapsed="false">
      <c r="A193" s="5" t="s">
        <v>34</v>
      </c>
      <c r="B193" s="5" t="s">
        <v>1751</v>
      </c>
      <c r="C193" s="5" t="s">
        <v>1752</v>
      </c>
      <c r="D193" s="6" t="s">
        <v>3648</v>
      </c>
      <c r="E193" s="5" t="s">
        <v>3648</v>
      </c>
      <c r="F193" s="5"/>
      <c r="G193" s="6" t="s">
        <v>3652</v>
      </c>
    </row>
    <row r="194" customFormat="false" ht="15" hidden="false" customHeight="false" outlineLevel="0" collapsed="false">
      <c r="A194" s="5" t="s">
        <v>34</v>
      </c>
      <c r="B194" s="5" t="s">
        <v>206</v>
      </c>
      <c r="C194" s="5" t="s">
        <v>1778</v>
      </c>
      <c r="D194" s="6" t="s">
        <v>3644</v>
      </c>
      <c r="E194" s="5" t="s">
        <v>3644</v>
      </c>
      <c r="F194" s="5"/>
      <c r="G194" s="6" t="s">
        <v>3653</v>
      </c>
    </row>
    <row r="195" customFormat="false" ht="15" hidden="false" customHeight="false" outlineLevel="0" collapsed="false">
      <c r="A195" s="5" t="s">
        <v>34</v>
      </c>
      <c r="B195" s="5" t="s">
        <v>206</v>
      </c>
      <c r="C195" s="5" t="s">
        <v>1778</v>
      </c>
      <c r="D195" s="6" t="s">
        <v>3646</v>
      </c>
      <c r="E195" s="5" t="s">
        <v>3646</v>
      </c>
      <c r="F195" s="5"/>
      <c r="G195" s="6" t="s">
        <v>3654</v>
      </c>
    </row>
    <row r="196" customFormat="false" ht="15" hidden="false" customHeight="false" outlineLevel="0" collapsed="false">
      <c r="A196" s="5" t="s">
        <v>34</v>
      </c>
      <c r="B196" s="5" t="s">
        <v>1767</v>
      </c>
      <c r="C196" s="5" t="s">
        <v>1768</v>
      </c>
      <c r="D196" s="6" t="s">
        <v>3644</v>
      </c>
      <c r="E196" s="5" t="s">
        <v>3644</v>
      </c>
      <c r="F196" s="5"/>
      <c r="G196" s="6" t="s">
        <v>3655</v>
      </c>
    </row>
    <row r="197" customFormat="false" ht="15" hidden="false" customHeight="false" outlineLevel="0" collapsed="false">
      <c r="A197" s="5" t="s">
        <v>34</v>
      </c>
      <c r="B197" s="5" t="s">
        <v>1767</v>
      </c>
      <c r="C197" s="5" t="s">
        <v>1768</v>
      </c>
      <c r="D197" s="6" t="s">
        <v>3646</v>
      </c>
      <c r="E197" s="5" t="s">
        <v>3646</v>
      </c>
      <c r="F197" s="5"/>
      <c r="G197" s="6" t="s">
        <v>3656</v>
      </c>
    </row>
    <row r="198" customFormat="false" ht="15" hidden="false" customHeight="false" outlineLevel="0" collapsed="false">
      <c r="A198" s="5" t="s">
        <v>34</v>
      </c>
      <c r="B198" s="5" t="s">
        <v>1773</v>
      </c>
      <c r="C198" s="5" t="s">
        <v>1774</v>
      </c>
      <c r="D198" s="6" t="s">
        <v>3644</v>
      </c>
      <c r="E198" s="5" t="s">
        <v>3644</v>
      </c>
      <c r="F198" s="5"/>
      <c r="G198" s="6" t="s">
        <v>3657</v>
      </c>
    </row>
    <row r="199" customFormat="false" ht="15" hidden="false" customHeight="false" outlineLevel="0" collapsed="false">
      <c r="A199" s="5" t="s">
        <v>34</v>
      </c>
      <c r="B199" s="5" t="s">
        <v>1773</v>
      </c>
      <c r="C199" s="5" t="s">
        <v>1774</v>
      </c>
      <c r="D199" s="6" t="s">
        <v>3646</v>
      </c>
      <c r="E199" s="5" t="s">
        <v>3646</v>
      </c>
      <c r="F199" s="5"/>
      <c r="G199" s="6" t="s">
        <v>3658</v>
      </c>
    </row>
    <row r="200" customFormat="false" ht="15" hidden="false" customHeight="false" outlineLevel="0" collapsed="false">
      <c r="A200" s="5" t="s">
        <v>34</v>
      </c>
      <c r="B200" s="5" t="s">
        <v>1745</v>
      </c>
      <c r="C200" s="5" t="s">
        <v>1746</v>
      </c>
      <c r="D200" s="6" t="s">
        <v>3595</v>
      </c>
      <c r="E200" s="5" t="s">
        <v>3331</v>
      </c>
      <c r="F200" s="5"/>
      <c r="G200" s="6" t="s">
        <v>3659</v>
      </c>
    </row>
    <row r="201" customFormat="false" ht="15" hidden="false" customHeight="false" outlineLevel="0" collapsed="false">
      <c r="A201" s="5" t="s">
        <v>34</v>
      </c>
      <c r="B201" s="5" t="s">
        <v>1745</v>
      </c>
      <c r="C201" s="5" t="s">
        <v>1746</v>
      </c>
      <c r="D201" s="6" t="s">
        <v>3597</v>
      </c>
      <c r="E201" s="5" t="s">
        <v>3333</v>
      </c>
      <c r="F201" s="5"/>
      <c r="G201" s="6" t="s">
        <v>3660</v>
      </c>
    </row>
    <row r="202" customFormat="false" ht="22.35" hidden="false" customHeight="false" outlineLevel="0" collapsed="false">
      <c r="A202" s="5" t="s">
        <v>34</v>
      </c>
      <c r="B202" s="5" t="s">
        <v>2806</v>
      </c>
      <c r="C202" s="5" t="s">
        <v>2807</v>
      </c>
      <c r="D202" s="6" t="s">
        <v>3661</v>
      </c>
      <c r="E202" s="5" t="s">
        <v>3662</v>
      </c>
      <c r="F202" s="5"/>
      <c r="G202" s="6" t="s">
        <v>3663</v>
      </c>
    </row>
    <row r="203" customFormat="false" ht="22.35" hidden="false" customHeight="false" outlineLevel="0" collapsed="false">
      <c r="A203" s="5" t="s">
        <v>34</v>
      </c>
      <c r="B203" s="5" t="s">
        <v>2806</v>
      </c>
      <c r="C203" s="5" t="s">
        <v>2807</v>
      </c>
      <c r="D203" s="6" t="s">
        <v>3664</v>
      </c>
      <c r="E203" s="5" t="s">
        <v>3664</v>
      </c>
      <c r="F203" s="5"/>
      <c r="G203" s="6" t="s">
        <v>3665</v>
      </c>
    </row>
    <row r="204" customFormat="false" ht="22.35" hidden="false" customHeight="false" outlineLevel="0" collapsed="false">
      <c r="A204" s="5" t="s">
        <v>34</v>
      </c>
      <c r="B204" s="5" t="s">
        <v>2806</v>
      </c>
      <c r="C204" s="5" t="s">
        <v>2807</v>
      </c>
      <c r="D204" s="6" t="s">
        <v>3666</v>
      </c>
      <c r="E204" s="5" t="s">
        <v>3667</v>
      </c>
      <c r="F204" s="5"/>
      <c r="G204" s="6" t="s">
        <v>3668</v>
      </c>
    </row>
    <row r="205" customFormat="false" ht="22.35" hidden="false" customHeight="false" outlineLevel="0" collapsed="false">
      <c r="A205" s="5" t="s">
        <v>34</v>
      </c>
      <c r="B205" s="5" t="s">
        <v>2806</v>
      </c>
      <c r="C205" s="5" t="s">
        <v>2807</v>
      </c>
      <c r="D205" s="6" t="s">
        <v>3669</v>
      </c>
      <c r="E205" s="5" t="s">
        <v>3669</v>
      </c>
      <c r="F205" s="5"/>
      <c r="G205" s="6" t="s">
        <v>3670</v>
      </c>
    </row>
    <row r="206" customFormat="false" ht="15" hidden="false" customHeight="false" outlineLevel="0" collapsed="false">
      <c r="A206" s="5" t="s">
        <v>34</v>
      </c>
      <c r="B206" s="5" t="s">
        <v>2806</v>
      </c>
      <c r="C206" s="5" t="s">
        <v>2807</v>
      </c>
      <c r="D206" s="6" t="s">
        <v>3671</v>
      </c>
      <c r="E206" s="5" t="s">
        <v>3671</v>
      </c>
      <c r="F206" s="5"/>
      <c r="G206" s="6" t="s">
        <v>3672</v>
      </c>
    </row>
    <row r="207" customFormat="false" ht="15" hidden="false" customHeight="false" outlineLevel="0" collapsed="false">
      <c r="A207" s="5" t="s">
        <v>34</v>
      </c>
      <c r="B207" s="5" t="s">
        <v>2806</v>
      </c>
      <c r="C207" s="5" t="s">
        <v>2807</v>
      </c>
      <c r="D207" s="6" t="s">
        <v>3648</v>
      </c>
      <c r="E207" s="5" t="s">
        <v>3648</v>
      </c>
      <c r="F207" s="5"/>
      <c r="G207" s="6" t="s">
        <v>3673</v>
      </c>
    </row>
    <row r="208" customFormat="false" ht="15" hidden="false" customHeight="false" outlineLevel="0" collapsed="false">
      <c r="A208" s="5" t="s">
        <v>34</v>
      </c>
      <c r="B208" s="5" t="s">
        <v>1348</v>
      </c>
      <c r="C208" s="5" t="s">
        <v>1349</v>
      </c>
      <c r="D208" s="6" t="s">
        <v>3674</v>
      </c>
      <c r="E208" s="5" t="s">
        <v>3674</v>
      </c>
      <c r="F208" s="5"/>
      <c r="G208" s="6" t="s">
        <v>3675</v>
      </c>
    </row>
    <row r="209" customFormat="false" ht="15" hidden="false" customHeight="false" outlineLevel="0" collapsed="false">
      <c r="A209" s="5" t="s">
        <v>34</v>
      </c>
      <c r="B209" s="5" t="s">
        <v>1348</v>
      </c>
      <c r="C209" s="5" t="s">
        <v>1349</v>
      </c>
      <c r="D209" s="6" t="s">
        <v>3676</v>
      </c>
      <c r="E209" s="5" t="s">
        <v>3676</v>
      </c>
      <c r="F209" s="5"/>
      <c r="G209" s="6" t="s">
        <v>3677</v>
      </c>
    </row>
    <row r="210" customFormat="false" ht="15" hidden="false" customHeight="false" outlineLevel="0" collapsed="false">
      <c r="A210" s="5" t="s">
        <v>34</v>
      </c>
      <c r="B210" s="5" t="s">
        <v>1348</v>
      </c>
      <c r="C210" s="5" t="s">
        <v>1349</v>
      </c>
      <c r="D210" s="6" t="s">
        <v>3678</v>
      </c>
      <c r="E210" s="5" t="s">
        <v>3678</v>
      </c>
      <c r="F210" s="5"/>
      <c r="G210" s="6" t="s">
        <v>3679</v>
      </c>
    </row>
    <row r="211" customFormat="false" ht="23.85" hidden="false" customHeight="false" outlineLevel="0" collapsed="false">
      <c r="A211" s="5" t="s">
        <v>34</v>
      </c>
      <c r="B211" s="5" t="s">
        <v>1348</v>
      </c>
      <c r="C211" s="5" t="s">
        <v>1349</v>
      </c>
      <c r="D211" s="6" t="s">
        <v>3680</v>
      </c>
      <c r="E211" s="5" t="s">
        <v>3681</v>
      </c>
      <c r="F211" s="5"/>
      <c r="G211" s="6" t="s">
        <v>3682</v>
      </c>
    </row>
    <row r="212" customFormat="false" ht="15" hidden="false" customHeight="false" outlineLevel="0" collapsed="false">
      <c r="A212" s="5" t="s">
        <v>34</v>
      </c>
      <c r="B212" s="5" t="s">
        <v>1341</v>
      </c>
      <c r="C212" s="5" t="s">
        <v>1342</v>
      </c>
      <c r="D212" s="6" t="s">
        <v>3683</v>
      </c>
      <c r="E212" s="5" t="s">
        <v>3683</v>
      </c>
      <c r="F212" s="5"/>
      <c r="G212" s="6" t="s">
        <v>3684</v>
      </c>
    </row>
    <row r="213" customFormat="false" ht="15" hidden="false" customHeight="false" outlineLevel="0" collapsed="false">
      <c r="A213" s="5" t="s">
        <v>34</v>
      </c>
      <c r="B213" s="5" t="s">
        <v>1341</v>
      </c>
      <c r="C213" s="5" t="s">
        <v>1342</v>
      </c>
      <c r="D213" s="6" t="s">
        <v>3685</v>
      </c>
      <c r="E213" s="5" t="s">
        <v>3685</v>
      </c>
      <c r="F213" s="5"/>
      <c r="G213" s="6" t="s">
        <v>3686</v>
      </c>
    </row>
    <row r="214" customFormat="false" ht="15" hidden="false" customHeight="false" outlineLevel="0" collapsed="false">
      <c r="A214" s="5" t="s">
        <v>34</v>
      </c>
      <c r="B214" s="5" t="s">
        <v>1438</v>
      </c>
      <c r="C214" s="5" t="s">
        <v>1439</v>
      </c>
      <c r="D214" s="6" t="s">
        <v>3685</v>
      </c>
      <c r="E214" s="5" t="s">
        <v>3685</v>
      </c>
      <c r="F214" s="5"/>
      <c r="G214" s="6" t="s">
        <v>3687</v>
      </c>
    </row>
    <row r="215" customFormat="false" ht="15" hidden="false" customHeight="false" outlineLevel="0" collapsed="false">
      <c r="A215" s="5" t="s">
        <v>34</v>
      </c>
      <c r="B215" s="5" t="s">
        <v>1438</v>
      </c>
      <c r="C215" s="5" t="s">
        <v>1439</v>
      </c>
      <c r="D215" s="6" t="s">
        <v>3683</v>
      </c>
      <c r="E215" s="5" t="s">
        <v>3683</v>
      </c>
      <c r="F215" s="5"/>
      <c r="G215" s="6" t="s">
        <v>3688</v>
      </c>
    </row>
    <row r="216" customFormat="false" ht="15" hidden="false" customHeight="false" outlineLevel="0" collapsed="false">
      <c r="A216" s="5" t="s">
        <v>34</v>
      </c>
      <c r="B216" s="5" t="s">
        <v>165</v>
      </c>
      <c r="C216" s="5" t="s">
        <v>1548</v>
      </c>
      <c r="D216" s="6" t="s">
        <v>3689</v>
      </c>
      <c r="E216" s="5" t="s">
        <v>3690</v>
      </c>
      <c r="F216" s="5"/>
      <c r="G216" s="6" t="s">
        <v>405</v>
      </c>
    </row>
    <row r="217" customFormat="false" ht="15" hidden="false" customHeight="false" outlineLevel="0" collapsed="false">
      <c r="A217" s="5" t="s">
        <v>34</v>
      </c>
      <c r="B217" s="5" t="s">
        <v>165</v>
      </c>
      <c r="C217" s="5" t="s">
        <v>1548</v>
      </c>
      <c r="D217" s="6" t="s">
        <v>3691</v>
      </c>
      <c r="E217" s="5" t="s">
        <v>3692</v>
      </c>
      <c r="F217" s="5"/>
      <c r="G217" s="6" t="s">
        <v>3693</v>
      </c>
    </row>
    <row r="218" customFormat="false" ht="15" hidden="false" customHeight="false" outlineLevel="0" collapsed="false">
      <c r="A218" s="5" t="s">
        <v>34</v>
      </c>
      <c r="B218" s="5" t="s">
        <v>165</v>
      </c>
      <c r="C218" s="5" t="s">
        <v>1548</v>
      </c>
      <c r="D218" s="6" t="s">
        <v>3694</v>
      </c>
      <c r="E218" s="5" t="s">
        <v>3695</v>
      </c>
      <c r="F218" s="5"/>
      <c r="G218" s="6" t="s">
        <v>3696</v>
      </c>
    </row>
    <row r="219" customFormat="false" ht="15" hidden="false" customHeight="false" outlineLevel="0" collapsed="false">
      <c r="A219" s="5" t="s">
        <v>34</v>
      </c>
      <c r="B219" s="5" t="s">
        <v>165</v>
      </c>
      <c r="C219" s="5" t="s">
        <v>1548</v>
      </c>
      <c r="D219" s="6" t="s">
        <v>3697</v>
      </c>
      <c r="E219" s="5" t="s">
        <v>3698</v>
      </c>
      <c r="F219" s="5"/>
      <c r="G219" s="6" t="s">
        <v>3699</v>
      </c>
    </row>
    <row r="220" customFormat="false" ht="15" hidden="false" customHeight="false" outlineLevel="0" collapsed="false">
      <c r="A220" s="5" t="s">
        <v>34</v>
      </c>
      <c r="B220" s="5" t="s">
        <v>165</v>
      </c>
      <c r="C220" s="5" t="s">
        <v>1548</v>
      </c>
      <c r="D220" s="6" t="s">
        <v>3700</v>
      </c>
      <c r="E220" s="5" t="s">
        <v>3701</v>
      </c>
      <c r="F220" s="5"/>
      <c r="G220" s="6" t="s">
        <v>3702</v>
      </c>
    </row>
    <row r="221" customFormat="false" ht="15" hidden="false" customHeight="false" outlineLevel="0" collapsed="false">
      <c r="A221" s="5" t="s">
        <v>34</v>
      </c>
      <c r="B221" s="5" t="s">
        <v>165</v>
      </c>
      <c r="C221" s="5" t="s">
        <v>1548</v>
      </c>
      <c r="D221" s="6" t="s">
        <v>3703</v>
      </c>
      <c r="E221" s="5" t="s">
        <v>3704</v>
      </c>
      <c r="F221" s="5"/>
      <c r="G221" s="6" t="s">
        <v>3705</v>
      </c>
    </row>
    <row r="222" customFormat="false" ht="15" hidden="false" customHeight="false" outlineLevel="0" collapsed="false">
      <c r="A222" s="5" t="s">
        <v>34</v>
      </c>
      <c r="B222" s="5" t="s">
        <v>165</v>
      </c>
      <c r="C222" s="5" t="s">
        <v>1548</v>
      </c>
      <c r="D222" s="6" t="s">
        <v>3706</v>
      </c>
      <c r="E222" s="5" t="s">
        <v>3707</v>
      </c>
      <c r="F222" s="5"/>
      <c r="G222" s="6" t="s">
        <v>3708</v>
      </c>
    </row>
    <row r="223" customFormat="false" ht="15" hidden="false" customHeight="false" outlineLevel="0" collapsed="false">
      <c r="A223" s="5" t="s">
        <v>34</v>
      </c>
      <c r="B223" s="5" t="s">
        <v>165</v>
      </c>
      <c r="C223" s="5" t="s">
        <v>1548</v>
      </c>
      <c r="D223" s="6" t="s">
        <v>3709</v>
      </c>
      <c r="E223" s="5" t="s">
        <v>3710</v>
      </c>
      <c r="F223" s="5"/>
      <c r="G223" s="6" t="s">
        <v>3711</v>
      </c>
    </row>
    <row r="224" customFormat="false" ht="15" hidden="false" customHeight="false" outlineLevel="0" collapsed="false">
      <c r="A224" s="5" t="s">
        <v>34</v>
      </c>
      <c r="B224" s="5" t="s">
        <v>165</v>
      </c>
      <c r="C224" s="5" t="s">
        <v>1548</v>
      </c>
      <c r="D224" s="6" t="s">
        <v>3712</v>
      </c>
      <c r="E224" s="5" t="s">
        <v>3713</v>
      </c>
      <c r="F224" s="5"/>
      <c r="G224" s="6" t="s">
        <v>3714</v>
      </c>
    </row>
    <row r="225" customFormat="false" ht="15" hidden="false" customHeight="false" outlineLevel="0" collapsed="false">
      <c r="A225" s="5" t="s">
        <v>34</v>
      </c>
      <c r="B225" s="5" t="s">
        <v>165</v>
      </c>
      <c r="C225" s="5" t="s">
        <v>1548</v>
      </c>
      <c r="D225" s="6" t="s">
        <v>3715</v>
      </c>
      <c r="E225" s="5" t="s">
        <v>3716</v>
      </c>
      <c r="F225" s="5"/>
      <c r="G225" s="6" t="s">
        <v>3717</v>
      </c>
    </row>
    <row r="226" customFormat="false" ht="15" hidden="false" customHeight="false" outlineLevel="0" collapsed="false">
      <c r="A226" s="5" t="s">
        <v>34</v>
      </c>
      <c r="B226" s="5" t="s">
        <v>165</v>
      </c>
      <c r="C226" s="5" t="s">
        <v>1548</v>
      </c>
      <c r="D226" s="6" t="s">
        <v>3718</v>
      </c>
      <c r="E226" s="5" t="s">
        <v>3719</v>
      </c>
      <c r="F226" s="5"/>
      <c r="G226" s="6" t="s">
        <v>3720</v>
      </c>
    </row>
    <row r="227" customFormat="false" ht="15" hidden="false" customHeight="false" outlineLevel="0" collapsed="false">
      <c r="A227" s="5" t="s">
        <v>34</v>
      </c>
      <c r="B227" s="5" t="s">
        <v>165</v>
      </c>
      <c r="C227" s="5" t="s">
        <v>1548</v>
      </c>
      <c r="D227" s="6" t="s">
        <v>3721</v>
      </c>
      <c r="E227" s="5" t="s">
        <v>3722</v>
      </c>
      <c r="F227" s="5"/>
      <c r="G227" s="6" t="s">
        <v>3723</v>
      </c>
    </row>
    <row r="228" customFormat="false" ht="15" hidden="false" customHeight="false" outlineLevel="0" collapsed="false">
      <c r="A228" s="5" t="s">
        <v>34</v>
      </c>
      <c r="B228" s="5" t="s">
        <v>165</v>
      </c>
      <c r="C228" s="5" t="s">
        <v>1548</v>
      </c>
      <c r="D228" s="6" t="s">
        <v>3724</v>
      </c>
      <c r="E228" s="5" t="s">
        <v>3725</v>
      </c>
      <c r="F228" s="5"/>
      <c r="G228" s="6" t="s">
        <v>3726</v>
      </c>
    </row>
    <row r="229" customFormat="false" ht="15" hidden="false" customHeight="false" outlineLevel="0" collapsed="false">
      <c r="A229" s="5" t="s">
        <v>34</v>
      </c>
      <c r="B229" s="5" t="s">
        <v>165</v>
      </c>
      <c r="C229" s="5" t="s">
        <v>1548</v>
      </c>
      <c r="D229" s="6" t="s">
        <v>3727</v>
      </c>
      <c r="E229" s="5" t="s">
        <v>3728</v>
      </c>
      <c r="F229" s="5"/>
      <c r="G229" s="6" t="s">
        <v>3729</v>
      </c>
    </row>
    <row r="230" customFormat="false" ht="15" hidden="false" customHeight="false" outlineLevel="0" collapsed="false">
      <c r="A230" s="5" t="s">
        <v>34</v>
      </c>
      <c r="B230" s="5" t="s">
        <v>165</v>
      </c>
      <c r="C230" s="5" t="s">
        <v>1548</v>
      </c>
      <c r="D230" s="6" t="s">
        <v>3730</v>
      </c>
      <c r="E230" s="5" t="s">
        <v>3731</v>
      </c>
      <c r="F230" s="5"/>
      <c r="G230" s="6" t="s">
        <v>3732</v>
      </c>
    </row>
    <row r="231" customFormat="false" ht="15" hidden="false" customHeight="false" outlineLevel="0" collapsed="false">
      <c r="A231" s="5" t="s">
        <v>34</v>
      </c>
      <c r="B231" s="5" t="s">
        <v>165</v>
      </c>
      <c r="C231" s="5" t="s">
        <v>1548</v>
      </c>
      <c r="D231" s="6" t="s">
        <v>3733</v>
      </c>
      <c r="E231" s="5" t="s">
        <v>3734</v>
      </c>
      <c r="F231" s="5"/>
      <c r="G231" s="6" t="s">
        <v>3735</v>
      </c>
    </row>
    <row r="232" customFormat="false" ht="15" hidden="false" customHeight="false" outlineLevel="0" collapsed="false">
      <c r="A232" s="5" t="s">
        <v>34</v>
      </c>
      <c r="B232" s="5" t="s">
        <v>165</v>
      </c>
      <c r="C232" s="5" t="s">
        <v>1548</v>
      </c>
      <c r="D232" s="6" t="s">
        <v>3736</v>
      </c>
      <c r="E232" s="5" t="s">
        <v>3737</v>
      </c>
      <c r="F232" s="5"/>
      <c r="G232" s="6" t="s">
        <v>3738</v>
      </c>
    </row>
    <row r="233" customFormat="false" ht="15" hidden="false" customHeight="false" outlineLevel="0" collapsed="false">
      <c r="A233" s="5" t="s">
        <v>34</v>
      </c>
      <c r="B233" s="5" t="s">
        <v>165</v>
      </c>
      <c r="C233" s="5" t="s">
        <v>1548</v>
      </c>
      <c r="D233" s="6" t="s">
        <v>3739</v>
      </c>
      <c r="E233" s="5" t="s">
        <v>3740</v>
      </c>
      <c r="F233" s="5"/>
      <c r="G233" s="6" t="s">
        <v>3741</v>
      </c>
    </row>
    <row r="234" customFormat="false" ht="15" hidden="false" customHeight="false" outlineLevel="0" collapsed="false">
      <c r="A234" s="5" t="s">
        <v>34</v>
      </c>
      <c r="B234" s="5" t="s">
        <v>165</v>
      </c>
      <c r="C234" s="5" t="s">
        <v>1548</v>
      </c>
      <c r="D234" s="6" t="s">
        <v>3742</v>
      </c>
      <c r="E234" s="5" t="s">
        <v>3743</v>
      </c>
      <c r="F234" s="5"/>
      <c r="G234" s="6" t="s">
        <v>3744</v>
      </c>
    </row>
    <row r="235" customFormat="false" ht="15" hidden="false" customHeight="false" outlineLevel="0" collapsed="false">
      <c r="A235" s="5" t="s">
        <v>34</v>
      </c>
      <c r="B235" s="5" t="s">
        <v>165</v>
      </c>
      <c r="C235" s="5" t="s">
        <v>1548</v>
      </c>
      <c r="D235" s="6" t="s">
        <v>3745</v>
      </c>
      <c r="E235" s="5" t="s">
        <v>3746</v>
      </c>
      <c r="F235" s="5"/>
      <c r="G235" s="6" t="s">
        <v>3747</v>
      </c>
    </row>
    <row r="236" customFormat="false" ht="15" hidden="false" customHeight="false" outlineLevel="0" collapsed="false">
      <c r="A236" s="5" t="s">
        <v>34</v>
      </c>
      <c r="B236" s="5" t="s">
        <v>165</v>
      </c>
      <c r="C236" s="5" t="s">
        <v>1548</v>
      </c>
      <c r="D236" s="6" t="s">
        <v>3748</v>
      </c>
      <c r="E236" s="5" t="s">
        <v>3749</v>
      </c>
      <c r="F236" s="5"/>
      <c r="G236" s="6" t="s">
        <v>3750</v>
      </c>
    </row>
    <row r="237" customFormat="false" ht="15" hidden="false" customHeight="false" outlineLevel="0" collapsed="false">
      <c r="A237" s="5" t="s">
        <v>34</v>
      </c>
      <c r="B237" s="5" t="s">
        <v>165</v>
      </c>
      <c r="C237" s="5" t="s">
        <v>1548</v>
      </c>
      <c r="D237" s="6" t="s">
        <v>3751</v>
      </c>
      <c r="E237" s="5" t="s">
        <v>3752</v>
      </c>
      <c r="F237" s="5"/>
      <c r="G237" s="6" t="s">
        <v>3753</v>
      </c>
    </row>
    <row r="238" customFormat="false" ht="15" hidden="false" customHeight="false" outlineLevel="0" collapsed="false">
      <c r="A238" s="5" t="s">
        <v>34</v>
      </c>
      <c r="B238" s="5" t="s">
        <v>165</v>
      </c>
      <c r="C238" s="5" t="s">
        <v>1548</v>
      </c>
      <c r="D238" s="6" t="s">
        <v>3754</v>
      </c>
      <c r="E238" s="5" t="s">
        <v>3755</v>
      </c>
      <c r="F238" s="5"/>
      <c r="G238" s="6" t="s">
        <v>3756</v>
      </c>
    </row>
    <row r="239" customFormat="false" ht="15" hidden="false" customHeight="false" outlineLevel="0" collapsed="false">
      <c r="A239" s="5" t="s">
        <v>34</v>
      </c>
      <c r="B239" s="5" t="s">
        <v>165</v>
      </c>
      <c r="C239" s="5" t="s">
        <v>1548</v>
      </c>
      <c r="D239" s="6" t="s">
        <v>3757</v>
      </c>
      <c r="E239" s="5" t="s">
        <v>3758</v>
      </c>
      <c r="F239" s="5"/>
      <c r="G239" s="6" t="s">
        <v>3759</v>
      </c>
    </row>
    <row r="240" customFormat="false" ht="15" hidden="false" customHeight="false" outlineLevel="0" collapsed="false">
      <c r="A240" s="5" t="s">
        <v>34</v>
      </c>
      <c r="B240" s="5" t="s">
        <v>165</v>
      </c>
      <c r="C240" s="5" t="s">
        <v>1548</v>
      </c>
      <c r="D240" s="6" t="s">
        <v>3760</v>
      </c>
      <c r="E240" s="5" t="s">
        <v>3761</v>
      </c>
      <c r="F240" s="5"/>
      <c r="G240" s="6" t="s">
        <v>3762</v>
      </c>
    </row>
    <row r="241" customFormat="false" ht="15" hidden="false" customHeight="false" outlineLevel="0" collapsed="false">
      <c r="A241" s="5" t="s">
        <v>34</v>
      </c>
      <c r="B241" s="5" t="s">
        <v>165</v>
      </c>
      <c r="C241" s="5" t="s">
        <v>1548</v>
      </c>
      <c r="D241" s="6" t="s">
        <v>3763</v>
      </c>
      <c r="E241" s="5" t="s">
        <v>3764</v>
      </c>
      <c r="F241" s="5"/>
      <c r="G241" s="6" t="s">
        <v>3765</v>
      </c>
    </row>
    <row r="242" customFormat="false" ht="15" hidden="false" customHeight="false" outlineLevel="0" collapsed="false">
      <c r="A242" s="5" t="s">
        <v>34</v>
      </c>
      <c r="B242" s="5" t="s">
        <v>165</v>
      </c>
      <c r="C242" s="5" t="s">
        <v>1548</v>
      </c>
      <c r="D242" s="6" t="s">
        <v>3766</v>
      </c>
      <c r="E242" s="5" t="s">
        <v>3767</v>
      </c>
      <c r="F242" s="5"/>
      <c r="G242" s="6" t="s">
        <v>3768</v>
      </c>
    </row>
    <row r="243" customFormat="false" ht="15" hidden="false" customHeight="false" outlineLevel="0" collapsed="false">
      <c r="A243" s="5" t="s">
        <v>34</v>
      </c>
      <c r="B243" s="5" t="s">
        <v>165</v>
      </c>
      <c r="C243" s="5" t="s">
        <v>1548</v>
      </c>
      <c r="D243" s="6" t="s">
        <v>3769</v>
      </c>
      <c r="E243" s="5" t="s">
        <v>3770</v>
      </c>
      <c r="F243" s="5"/>
      <c r="G243" s="6" t="s">
        <v>3771</v>
      </c>
    </row>
    <row r="244" customFormat="false" ht="15" hidden="false" customHeight="false" outlineLevel="0" collapsed="false">
      <c r="A244" s="5" t="s">
        <v>34</v>
      </c>
      <c r="B244" s="5" t="s">
        <v>165</v>
      </c>
      <c r="C244" s="5" t="s">
        <v>1548</v>
      </c>
      <c r="D244" s="6" t="s">
        <v>3772</v>
      </c>
      <c r="E244" s="5" t="s">
        <v>3773</v>
      </c>
      <c r="F244" s="5"/>
      <c r="G244" s="6" t="s">
        <v>3774</v>
      </c>
    </row>
    <row r="245" customFormat="false" ht="15" hidden="false" customHeight="false" outlineLevel="0" collapsed="false">
      <c r="A245" s="5" t="s">
        <v>34</v>
      </c>
      <c r="B245" s="5" t="s">
        <v>165</v>
      </c>
      <c r="C245" s="5" t="s">
        <v>1548</v>
      </c>
      <c r="D245" s="6" t="s">
        <v>3775</v>
      </c>
      <c r="E245" s="5" t="s">
        <v>3776</v>
      </c>
      <c r="F245" s="5"/>
      <c r="G245" s="6" t="s">
        <v>3777</v>
      </c>
    </row>
    <row r="246" customFormat="false" ht="15" hidden="false" customHeight="false" outlineLevel="0" collapsed="false">
      <c r="A246" s="5" t="s">
        <v>34</v>
      </c>
      <c r="B246" s="5" t="s">
        <v>165</v>
      </c>
      <c r="C246" s="5" t="s">
        <v>1548</v>
      </c>
      <c r="D246" s="6" t="s">
        <v>3778</v>
      </c>
      <c r="E246" s="5" t="s">
        <v>3779</v>
      </c>
      <c r="F246" s="5"/>
      <c r="G246" s="6" t="s">
        <v>3780</v>
      </c>
    </row>
    <row r="247" customFormat="false" ht="15" hidden="false" customHeight="false" outlineLevel="0" collapsed="false">
      <c r="A247" s="5" t="s">
        <v>34</v>
      </c>
      <c r="B247" s="5" t="s">
        <v>165</v>
      </c>
      <c r="C247" s="5" t="s">
        <v>1548</v>
      </c>
      <c r="D247" s="6" t="s">
        <v>3781</v>
      </c>
      <c r="E247" s="5" t="s">
        <v>3782</v>
      </c>
      <c r="F247" s="5"/>
      <c r="G247" s="6" t="s">
        <v>3783</v>
      </c>
    </row>
    <row r="248" customFormat="false" ht="15" hidden="false" customHeight="false" outlineLevel="0" collapsed="false">
      <c r="A248" s="5" t="s">
        <v>34</v>
      </c>
      <c r="B248" s="5" t="s">
        <v>165</v>
      </c>
      <c r="C248" s="5" t="s">
        <v>1548</v>
      </c>
      <c r="D248" s="6" t="s">
        <v>3784</v>
      </c>
      <c r="E248" s="5" t="s">
        <v>3785</v>
      </c>
      <c r="F248" s="5"/>
      <c r="G248" s="6" t="s">
        <v>3786</v>
      </c>
    </row>
    <row r="249" customFormat="false" ht="15" hidden="false" customHeight="false" outlineLevel="0" collapsed="false">
      <c r="A249" s="5" t="s">
        <v>34</v>
      </c>
      <c r="B249" s="5" t="s">
        <v>165</v>
      </c>
      <c r="C249" s="5" t="s">
        <v>1548</v>
      </c>
      <c r="D249" s="6" t="s">
        <v>3787</v>
      </c>
      <c r="E249" s="5" t="s">
        <v>3788</v>
      </c>
      <c r="F249" s="5"/>
      <c r="G249" s="6" t="s">
        <v>3789</v>
      </c>
    </row>
    <row r="250" customFormat="false" ht="15" hidden="false" customHeight="false" outlineLevel="0" collapsed="false">
      <c r="A250" s="5" t="s">
        <v>34</v>
      </c>
      <c r="B250" s="5" t="s">
        <v>165</v>
      </c>
      <c r="C250" s="5" t="s">
        <v>1548</v>
      </c>
      <c r="D250" s="6" t="s">
        <v>3790</v>
      </c>
      <c r="E250" s="5" t="s">
        <v>3791</v>
      </c>
      <c r="F250" s="5"/>
      <c r="G250" s="6" t="s">
        <v>3792</v>
      </c>
    </row>
    <row r="251" customFormat="false" ht="15" hidden="false" customHeight="false" outlineLevel="0" collapsed="false">
      <c r="A251" s="5" t="s">
        <v>34</v>
      </c>
      <c r="B251" s="5" t="s">
        <v>165</v>
      </c>
      <c r="C251" s="5" t="s">
        <v>1548</v>
      </c>
      <c r="D251" s="6" t="s">
        <v>3793</v>
      </c>
      <c r="E251" s="5" t="s">
        <v>3794</v>
      </c>
      <c r="F251" s="5"/>
      <c r="G251" s="6" t="s">
        <v>3795</v>
      </c>
    </row>
    <row r="252" customFormat="false" ht="15" hidden="false" customHeight="false" outlineLevel="0" collapsed="false">
      <c r="A252" s="5" t="s">
        <v>34</v>
      </c>
      <c r="B252" s="5" t="s">
        <v>165</v>
      </c>
      <c r="C252" s="5" t="s">
        <v>1548</v>
      </c>
      <c r="D252" s="6" t="s">
        <v>3796</v>
      </c>
      <c r="E252" s="5" t="s">
        <v>3797</v>
      </c>
      <c r="F252" s="5"/>
      <c r="G252" s="6" t="s">
        <v>3798</v>
      </c>
    </row>
    <row r="253" customFormat="false" ht="15" hidden="false" customHeight="false" outlineLevel="0" collapsed="false">
      <c r="A253" s="5" t="s">
        <v>34</v>
      </c>
      <c r="B253" s="5" t="s">
        <v>165</v>
      </c>
      <c r="C253" s="5" t="s">
        <v>1548</v>
      </c>
      <c r="D253" s="6" t="s">
        <v>3799</v>
      </c>
      <c r="E253" s="5" t="s">
        <v>3800</v>
      </c>
      <c r="F253" s="5"/>
      <c r="G253" s="6" t="s">
        <v>3801</v>
      </c>
    </row>
    <row r="254" customFormat="false" ht="15" hidden="false" customHeight="false" outlineLevel="0" collapsed="false">
      <c r="A254" s="5" t="s">
        <v>34</v>
      </c>
      <c r="B254" s="5" t="s">
        <v>165</v>
      </c>
      <c r="C254" s="5" t="s">
        <v>1548</v>
      </c>
      <c r="D254" s="6" t="s">
        <v>3802</v>
      </c>
      <c r="E254" s="5" t="s">
        <v>3803</v>
      </c>
      <c r="F254" s="5"/>
      <c r="G254" s="6" t="s">
        <v>3804</v>
      </c>
    </row>
    <row r="255" customFormat="false" ht="15" hidden="false" customHeight="false" outlineLevel="0" collapsed="false">
      <c r="A255" s="5" t="s">
        <v>34</v>
      </c>
      <c r="B255" s="5" t="s">
        <v>165</v>
      </c>
      <c r="C255" s="5" t="s">
        <v>1548</v>
      </c>
      <c r="D255" s="6" t="s">
        <v>3805</v>
      </c>
      <c r="E255" s="5" t="s">
        <v>3806</v>
      </c>
      <c r="F255" s="5"/>
      <c r="G255" s="6" t="s">
        <v>3807</v>
      </c>
    </row>
    <row r="256" customFormat="false" ht="15" hidden="false" customHeight="false" outlineLevel="0" collapsed="false">
      <c r="A256" s="5" t="s">
        <v>34</v>
      </c>
      <c r="B256" s="5" t="s">
        <v>165</v>
      </c>
      <c r="C256" s="5" t="s">
        <v>1548</v>
      </c>
      <c r="D256" s="6" t="s">
        <v>3808</v>
      </c>
      <c r="E256" s="5" t="s">
        <v>3809</v>
      </c>
      <c r="F256" s="5"/>
      <c r="G256" s="6" t="s">
        <v>3810</v>
      </c>
    </row>
    <row r="257" customFormat="false" ht="15" hidden="false" customHeight="false" outlineLevel="0" collapsed="false">
      <c r="A257" s="5" t="s">
        <v>34</v>
      </c>
      <c r="B257" s="5" t="s">
        <v>165</v>
      </c>
      <c r="C257" s="5" t="s">
        <v>1548</v>
      </c>
      <c r="D257" s="6" t="s">
        <v>3811</v>
      </c>
      <c r="E257" s="5" t="s">
        <v>3812</v>
      </c>
      <c r="F257" s="5"/>
      <c r="G257" s="6" t="s">
        <v>3813</v>
      </c>
    </row>
    <row r="258" customFormat="false" ht="15" hidden="false" customHeight="false" outlineLevel="0" collapsed="false">
      <c r="A258" s="5" t="s">
        <v>34</v>
      </c>
      <c r="B258" s="5" t="s">
        <v>165</v>
      </c>
      <c r="C258" s="5" t="s">
        <v>1548</v>
      </c>
      <c r="D258" s="6" t="s">
        <v>3814</v>
      </c>
      <c r="E258" s="5" t="s">
        <v>3815</v>
      </c>
      <c r="F258" s="5"/>
      <c r="G258" s="6" t="s">
        <v>3816</v>
      </c>
    </row>
    <row r="259" customFormat="false" ht="15" hidden="false" customHeight="false" outlineLevel="0" collapsed="false">
      <c r="A259" s="5" t="s">
        <v>34</v>
      </c>
      <c r="B259" s="5" t="s">
        <v>165</v>
      </c>
      <c r="C259" s="5" t="s">
        <v>1548</v>
      </c>
      <c r="D259" s="6" t="s">
        <v>3817</v>
      </c>
      <c r="E259" s="5" t="s">
        <v>3818</v>
      </c>
      <c r="F259" s="5"/>
      <c r="G259" s="6" t="s">
        <v>3819</v>
      </c>
    </row>
    <row r="260" customFormat="false" ht="15" hidden="false" customHeight="false" outlineLevel="0" collapsed="false">
      <c r="A260" s="5" t="s">
        <v>34</v>
      </c>
      <c r="B260" s="5" t="s">
        <v>165</v>
      </c>
      <c r="C260" s="5" t="s">
        <v>1548</v>
      </c>
      <c r="D260" s="6" t="s">
        <v>3820</v>
      </c>
      <c r="E260" s="5" t="s">
        <v>3821</v>
      </c>
      <c r="F260" s="5"/>
      <c r="G260" s="6" t="s">
        <v>3822</v>
      </c>
    </row>
    <row r="261" customFormat="false" ht="15" hidden="false" customHeight="false" outlineLevel="0" collapsed="false">
      <c r="A261" s="5" t="s">
        <v>34</v>
      </c>
      <c r="B261" s="5" t="s">
        <v>165</v>
      </c>
      <c r="C261" s="5" t="s">
        <v>1548</v>
      </c>
      <c r="D261" s="6" t="s">
        <v>3823</v>
      </c>
      <c r="E261" s="5" t="s">
        <v>3824</v>
      </c>
      <c r="F261" s="5"/>
      <c r="G261" s="6" t="s">
        <v>3825</v>
      </c>
    </row>
    <row r="262" customFormat="false" ht="15" hidden="false" customHeight="false" outlineLevel="0" collapsed="false">
      <c r="A262" s="5" t="s">
        <v>34</v>
      </c>
      <c r="B262" s="5" t="s">
        <v>165</v>
      </c>
      <c r="C262" s="5" t="s">
        <v>1548</v>
      </c>
      <c r="D262" s="6" t="s">
        <v>3826</v>
      </c>
      <c r="E262" s="5" t="s">
        <v>3827</v>
      </c>
      <c r="F262" s="5"/>
      <c r="G262" s="6" t="s">
        <v>3828</v>
      </c>
    </row>
    <row r="263" customFormat="false" ht="15" hidden="false" customHeight="false" outlineLevel="0" collapsed="false">
      <c r="A263" s="5" t="s">
        <v>34</v>
      </c>
      <c r="B263" s="5" t="s">
        <v>1500</v>
      </c>
      <c r="C263" s="5" t="s">
        <v>1501</v>
      </c>
      <c r="D263" s="6" t="s">
        <v>3689</v>
      </c>
      <c r="E263" s="5" t="s">
        <v>3690</v>
      </c>
      <c r="F263" s="5"/>
      <c r="G263" s="6" t="s">
        <v>3829</v>
      </c>
    </row>
    <row r="264" customFormat="false" ht="15" hidden="false" customHeight="false" outlineLevel="0" collapsed="false">
      <c r="A264" s="5" t="s">
        <v>34</v>
      </c>
      <c r="B264" s="5" t="s">
        <v>1500</v>
      </c>
      <c r="C264" s="5" t="s">
        <v>1501</v>
      </c>
      <c r="D264" s="6" t="s">
        <v>3691</v>
      </c>
      <c r="E264" s="5" t="s">
        <v>3692</v>
      </c>
      <c r="F264" s="5"/>
      <c r="G264" s="6" t="s">
        <v>3830</v>
      </c>
    </row>
    <row r="265" customFormat="false" ht="15" hidden="false" customHeight="false" outlineLevel="0" collapsed="false">
      <c r="A265" s="5" t="s">
        <v>34</v>
      </c>
      <c r="B265" s="5" t="s">
        <v>1500</v>
      </c>
      <c r="C265" s="5" t="s">
        <v>1501</v>
      </c>
      <c r="D265" s="6" t="s">
        <v>3694</v>
      </c>
      <c r="E265" s="5" t="s">
        <v>3695</v>
      </c>
      <c r="F265" s="5"/>
      <c r="G265" s="6" t="s">
        <v>3831</v>
      </c>
    </row>
    <row r="266" customFormat="false" ht="15" hidden="false" customHeight="false" outlineLevel="0" collapsed="false">
      <c r="A266" s="5" t="s">
        <v>34</v>
      </c>
      <c r="B266" s="5" t="s">
        <v>1500</v>
      </c>
      <c r="C266" s="5" t="s">
        <v>1501</v>
      </c>
      <c r="D266" s="6" t="s">
        <v>3697</v>
      </c>
      <c r="E266" s="5" t="s">
        <v>3698</v>
      </c>
      <c r="F266" s="5"/>
      <c r="G266" s="6" t="s">
        <v>3832</v>
      </c>
    </row>
    <row r="267" customFormat="false" ht="15" hidden="false" customHeight="false" outlineLevel="0" collapsed="false">
      <c r="A267" s="5" t="s">
        <v>34</v>
      </c>
      <c r="B267" s="5" t="s">
        <v>1500</v>
      </c>
      <c r="C267" s="5" t="s">
        <v>1501</v>
      </c>
      <c r="D267" s="6" t="s">
        <v>3700</v>
      </c>
      <c r="E267" s="5" t="s">
        <v>3701</v>
      </c>
      <c r="F267" s="5"/>
      <c r="G267" s="6" t="s">
        <v>3833</v>
      </c>
    </row>
    <row r="268" customFormat="false" ht="15" hidden="false" customHeight="false" outlineLevel="0" collapsed="false">
      <c r="A268" s="5" t="s">
        <v>34</v>
      </c>
      <c r="B268" s="5" t="s">
        <v>1500</v>
      </c>
      <c r="C268" s="5" t="s">
        <v>1501</v>
      </c>
      <c r="D268" s="6" t="s">
        <v>3703</v>
      </c>
      <c r="E268" s="5" t="s">
        <v>3704</v>
      </c>
      <c r="F268" s="5"/>
      <c r="G268" s="6" t="s">
        <v>3834</v>
      </c>
    </row>
    <row r="269" customFormat="false" ht="15" hidden="false" customHeight="false" outlineLevel="0" collapsed="false">
      <c r="A269" s="5" t="s">
        <v>34</v>
      </c>
      <c r="B269" s="5" t="s">
        <v>1500</v>
      </c>
      <c r="C269" s="5" t="s">
        <v>1501</v>
      </c>
      <c r="D269" s="6" t="s">
        <v>3706</v>
      </c>
      <c r="E269" s="5" t="s">
        <v>3707</v>
      </c>
      <c r="F269" s="5"/>
      <c r="G269" s="6" t="s">
        <v>3835</v>
      </c>
    </row>
    <row r="270" customFormat="false" ht="15" hidden="false" customHeight="false" outlineLevel="0" collapsed="false">
      <c r="A270" s="5" t="s">
        <v>34</v>
      </c>
      <c r="B270" s="5" t="s">
        <v>1500</v>
      </c>
      <c r="C270" s="5" t="s">
        <v>1501</v>
      </c>
      <c r="D270" s="6" t="s">
        <v>3709</v>
      </c>
      <c r="E270" s="5" t="s">
        <v>3710</v>
      </c>
      <c r="F270" s="5"/>
      <c r="G270" s="6" t="s">
        <v>3836</v>
      </c>
    </row>
    <row r="271" customFormat="false" ht="15" hidden="false" customHeight="false" outlineLevel="0" collapsed="false">
      <c r="A271" s="5" t="s">
        <v>34</v>
      </c>
      <c r="B271" s="5" t="s">
        <v>1500</v>
      </c>
      <c r="C271" s="5" t="s">
        <v>1501</v>
      </c>
      <c r="D271" s="6" t="s">
        <v>3712</v>
      </c>
      <c r="E271" s="5" t="s">
        <v>3713</v>
      </c>
      <c r="F271" s="5"/>
      <c r="G271" s="6" t="s">
        <v>3837</v>
      </c>
    </row>
    <row r="272" customFormat="false" ht="15" hidden="false" customHeight="false" outlineLevel="0" collapsed="false">
      <c r="A272" s="5" t="s">
        <v>34</v>
      </c>
      <c r="B272" s="5" t="s">
        <v>1500</v>
      </c>
      <c r="C272" s="5" t="s">
        <v>1501</v>
      </c>
      <c r="D272" s="6" t="s">
        <v>3715</v>
      </c>
      <c r="E272" s="5" t="s">
        <v>3716</v>
      </c>
      <c r="F272" s="5"/>
      <c r="G272" s="6" t="s">
        <v>3838</v>
      </c>
    </row>
    <row r="273" customFormat="false" ht="15" hidden="false" customHeight="false" outlineLevel="0" collapsed="false">
      <c r="A273" s="5" t="s">
        <v>34</v>
      </c>
      <c r="B273" s="5" t="s">
        <v>1500</v>
      </c>
      <c r="C273" s="5" t="s">
        <v>1501</v>
      </c>
      <c r="D273" s="6" t="s">
        <v>3718</v>
      </c>
      <c r="E273" s="5" t="s">
        <v>3719</v>
      </c>
      <c r="F273" s="5"/>
      <c r="G273" s="6" t="s">
        <v>3839</v>
      </c>
    </row>
    <row r="274" customFormat="false" ht="15" hidden="false" customHeight="false" outlineLevel="0" collapsed="false">
      <c r="A274" s="5" t="s">
        <v>34</v>
      </c>
      <c r="B274" s="5" t="s">
        <v>1500</v>
      </c>
      <c r="C274" s="5" t="s">
        <v>1501</v>
      </c>
      <c r="D274" s="6" t="s">
        <v>3721</v>
      </c>
      <c r="E274" s="5" t="s">
        <v>3722</v>
      </c>
      <c r="F274" s="5"/>
      <c r="G274" s="6" t="s">
        <v>3840</v>
      </c>
    </row>
    <row r="275" customFormat="false" ht="15" hidden="false" customHeight="false" outlineLevel="0" collapsed="false">
      <c r="A275" s="5" t="s">
        <v>34</v>
      </c>
      <c r="B275" s="5" t="s">
        <v>1500</v>
      </c>
      <c r="C275" s="5" t="s">
        <v>1501</v>
      </c>
      <c r="D275" s="6" t="s">
        <v>3724</v>
      </c>
      <c r="E275" s="5" t="s">
        <v>3725</v>
      </c>
      <c r="F275" s="5"/>
      <c r="G275" s="6" t="s">
        <v>3841</v>
      </c>
    </row>
    <row r="276" customFormat="false" ht="15" hidden="false" customHeight="false" outlineLevel="0" collapsed="false">
      <c r="A276" s="5" t="s">
        <v>34</v>
      </c>
      <c r="B276" s="5" t="s">
        <v>1500</v>
      </c>
      <c r="C276" s="5" t="s">
        <v>1501</v>
      </c>
      <c r="D276" s="6" t="s">
        <v>3727</v>
      </c>
      <c r="E276" s="5" t="s">
        <v>3728</v>
      </c>
      <c r="F276" s="5"/>
      <c r="G276" s="6" t="s">
        <v>3842</v>
      </c>
    </row>
    <row r="277" customFormat="false" ht="15" hidden="false" customHeight="false" outlineLevel="0" collapsed="false">
      <c r="A277" s="5" t="s">
        <v>34</v>
      </c>
      <c r="B277" s="5" t="s">
        <v>1500</v>
      </c>
      <c r="C277" s="5" t="s">
        <v>1501</v>
      </c>
      <c r="D277" s="6" t="s">
        <v>3730</v>
      </c>
      <c r="E277" s="5" t="s">
        <v>3731</v>
      </c>
      <c r="F277" s="5"/>
      <c r="G277" s="6" t="s">
        <v>3843</v>
      </c>
    </row>
    <row r="278" customFormat="false" ht="15" hidden="false" customHeight="false" outlineLevel="0" collapsed="false">
      <c r="A278" s="5" t="s">
        <v>34</v>
      </c>
      <c r="B278" s="5" t="s">
        <v>1500</v>
      </c>
      <c r="C278" s="5" t="s">
        <v>1501</v>
      </c>
      <c r="D278" s="6" t="s">
        <v>3733</v>
      </c>
      <c r="E278" s="5" t="s">
        <v>3734</v>
      </c>
      <c r="F278" s="5"/>
      <c r="G278" s="6" t="s">
        <v>3844</v>
      </c>
    </row>
    <row r="279" customFormat="false" ht="15" hidden="false" customHeight="false" outlineLevel="0" collapsed="false">
      <c r="A279" s="5" t="s">
        <v>34</v>
      </c>
      <c r="B279" s="5" t="s">
        <v>1500</v>
      </c>
      <c r="C279" s="5" t="s">
        <v>1501</v>
      </c>
      <c r="D279" s="6" t="s">
        <v>3736</v>
      </c>
      <c r="E279" s="5" t="s">
        <v>3737</v>
      </c>
      <c r="F279" s="5"/>
      <c r="G279" s="6" t="s">
        <v>3845</v>
      </c>
    </row>
    <row r="280" customFormat="false" ht="15" hidden="false" customHeight="false" outlineLevel="0" collapsed="false">
      <c r="A280" s="5" t="s">
        <v>34</v>
      </c>
      <c r="B280" s="5" t="s">
        <v>1500</v>
      </c>
      <c r="C280" s="5" t="s">
        <v>1501</v>
      </c>
      <c r="D280" s="6" t="s">
        <v>3739</v>
      </c>
      <c r="E280" s="5" t="s">
        <v>3740</v>
      </c>
      <c r="F280" s="5"/>
      <c r="G280" s="6" t="s">
        <v>3846</v>
      </c>
    </row>
    <row r="281" customFormat="false" ht="15" hidden="false" customHeight="false" outlineLevel="0" collapsed="false">
      <c r="A281" s="5" t="s">
        <v>34</v>
      </c>
      <c r="B281" s="5" t="s">
        <v>1500</v>
      </c>
      <c r="C281" s="5" t="s">
        <v>1501</v>
      </c>
      <c r="D281" s="6" t="s">
        <v>3742</v>
      </c>
      <c r="E281" s="5" t="s">
        <v>3743</v>
      </c>
      <c r="F281" s="5"/>
      <c r="G281" s="6" t="s">
        <v>3847</v>
      </c>
    </row>
    <row r="282" customFormat="false" ht="15" hidden="false" customHeight="false" outlineLevel="0" collapsed="false">
      <c r="A282" s="5" t="s">
        <v>34</v>
      </c>
      <c r="B282" s="5" t="s">
        <v>1500</v>
      </c>
      <c r="C282" s="5" t="s">
        <v>1501</v>
      </c>
      <c r="D282" s="6" t="s">
        <v>3745</v>
      </c>
      <c r="E282" s="5" t="s">
        <v>3746</v>
      </c>
      <c r="F282" s="5"/>
      <c r="G282" s="6" t="s">
        <v>3848</v>
      </c>
    </row>
    <row r="283" customFormat="false" ht="15" hidden="false" customHeight="false" outlineLevel="0" collapsed="false">
      <c r="A283" s="5" t="s">
        <v>34</v>
      </c>
      <c r="B283" s="5" t="s">
        <v>1500</v>
      </c>
      <c r="C283" s="5" t="s">
        <v>1501</v>
      </c>
      <c r="D283" s="6" t="s">
        <v>3748</v>
      </c>
      <c r="E283" s="5" t="s">
        <v>3749</v>
      </c>
      <c r="F283" s="5"/>
      <c r="G283" s="6" t="s">
        <v>3849</v>
      </c>
    </row>
    <row r="284" customFormat="false" ht="15" hidden="false" customHeight="false" outlineLevel="0" collapsed="false">
      <c r="A284" s="5" t="s">
        <v>34</v>
      </c>
      <c r="B284" s="5" t="s">
        <v>1500</v>
      </c>
      <c r="C284" s="5" t="s">
        <v>1501</v>
      </c>
      <c r="D284" s="6" t="s">
        <v>3751</v>
      </c>
      <c r="E284" s="5" t="s">
        <v>3752</v>
      </c>
      <c r="F284" s="5"/>
      <c r="G284" s="6" t="s">
        <v>3850</v>
      </c>
    </row>
    <row r="285" customFormat="false" ht="15" hidden="false" customHeight="false" outlineLevel="0" collapsed="false">
      <c r="A285" s="5" t="s">
        <v>34</v>
      </c>
      <c r="B285" s="5" t="s">
        <v>1500</v>
      </c>
      <c r="C285" s="5" t="s">
        <v>1501</v>
      </c>
      <c r="D285" s="6" t="s">
        <v>3754</v>
      </c>
      <c r="E285" s="5" t="s">
        <v>3755</v>
      </c>
      <c r="F285" s="5"/>
      <c r="G285" s="6" t="s">
        <v>3851</v>
      </c>
    </row>
    <row r="286" customFormat="false" ht="15" hidden="false" customHeight="false" outlineLevel="0" collapsed="false">
      <c r="A286" s="5" t="s">
        <v>34</v>
      </c>
      <c r="B286" s="5" t="s">
        <v>1500</v>
      </c>
      <c r="C286" s="5" t="s">
        <v>1501</v>
      </c>
      <c r="D286" s="6" t="s">
        <v>3757</v>
      </c>
      <c r="E286" s="5" t="s">
        <v>3758</v>
      </c>
      <c r="F286" s="5"/>
      <c r="G286" s="6" t="s">
        <v>3852</v>
      </c>
    </row>
    <row r="287" customFormat="false" ht="15" hidden="false" customHeight="false" outlineLevel="0" collapsed="false">
      <c r="A287" s="5" t="s">
        <v>34</v>
      </c>
      <c r="B287" s="5" t="s">
        <v>1500</v>
      </c>
      <c r="C287" s="5" t="s">
        <v>1501</v>
      </c>
      <c r="D287" s="6" t="s">
        <v>3760</v>
      </c>
      <c r="E287" s="5" t="s">
        <v>3761</v>
      </c>
      <c r="F287" s="5"/>
      <c r="G287" s="6" t="s">
        <v>3853</v>
      </c>
    </row>
    <row r="288" customFormat="false" ht="15" hidden="false" customHeight="false" outlineLevel="0" collapsed="false">
      <c r="A288" s="5" t="s">
        <v>34</v>
      </c>
      <c r="B288" s="5" t="s">
        <v>1500</v>
      </c>
      <c r="C288" s="5" t="s">
        <v>1501</v>
      </c>
      <c r="D288" s="6" t="s">
        <v>3763</v>
      </c>
      <c r="E288" s="5" t="s">
        <v>3764</v>
      </c>
      <c r="F288" s="5"/>
      <c r="G288" s="6" t="s">
        <v>3854</v>
      </c>
    </row>
    <row r="289" customFormat="false" ht="15" hidden="false" customHeight="false" outlineLevel="0" collapsed="false">
      <c r="A289" s="5" t="s">
        <v>34</v>
      </c>
      <c r="B289" s="5" t="s">
        <v>1500</v>
      </c>
      <c r="C289" s="5" t="s">
        <v>1501</v>
      </c>
      <c r="D289" s="6" t="s">
        <v>3766</v>
      </c>
      <c r="E289" s="5" t="s">
        <v>3767</v>
      </c>
      <c r="F289" s="5"/>
      <c r="G289" s="6" t="s">
        <v>3855</v>
      </c>
    </row>
    <row r="290" customFormat="false" ht="15" hidden="false" customHeight="false" outlineLevel="0" collapsed="false">
      <c r="A290" s="5" t="s">
        <v>34</v>
      </c>
      <c r="B290" s="5" t="s">
        <v>1500</v>
      </c>
      <c r="C290" s="5" t="s">
        <v>1501</v>
      </c>
      <c r="D290" s="6" t="s">
        <v>3769</v>
      </c>
      <c r="E290" s="5" t="s">
        <v>3770</v>
      </c>
      <c r="F290" s="5"/>
      <c r="G290" s="6" t="s">
        <v>3856</v>
      </c>
    </row>
    <row r="291" customFormat="false" ht="15" hidden="false" customHeight="false" outlineLevel="0" collapsed="false">
      <c r="A291" s="5" t="s">
        <v>34</v>
      </c>
      <c r="B291" s="5" t="s">
        <v>1500</v>
      </c>
      <c r="C291" s="5" t="s">
        <v>1501</v>
      </c>
      <c r="D291" s="6" t="s">
        <v>3772</v>
      </c>
      <c r="E291" s="5" t="s">
        <v>3773</v>
      </c>
      <c r="F291" s="5"/>
      <c r="G291" s="6" t="s">
        <v>3857</v>
      </c>
    </row>
    <row r="292" customFormat="false" ht="15" hidden="false" customHeight="false" outlineLevel="0" collapsed="false">
      <c r="A292" s="5" t="s">
        <v>34</v>
      </c>
      <c r="B292" s="5" t="s">
        <v>1500</v>
      </c>
      <c r="C292" s="5" t="s">
        <v>1501</v>
      </c>
      <c r="D292" s="6" t="s">
        <v>3775</v>
      </c>
      <c r="E292" s="5" t="s">
        <v>3776</v>
      </c>
      <c r="F292" s="5"/>
      <c r="G292" s="6" t="s">
        <v>3858</v>
      </c>
    </row>
    <row r="293" customFormat="false" ht="15" hidden="false" customHeight="false" outlineLevel="0" collapsed="false">
      <c r="A293" s="5" t="s">
        <v>34</v>
      </c>
      <c r="B293" s="5" t="s">
        <v>1500</v>
      </c>
      <c r="C293" s="5" t="s">
        <v>1501</v>
      </c>
      <c r="D293" s="6" t="s">
        <v>3778</v>
      </c>
      <c r="E293" s="5" t="s">
        <v>3779</v>
      </c>
      <c r="F293" s="5"/>
      <c r="G293" s="6" t="s">
        <v>3859</v>
      </c>
    </row>
    <row r="294" customFormat="false" ht="15" hidden="false" customHeight="false" outlineLevel="0" collapsed="false">
      <c r="A294" s="5" t="s">
        <v>34</v>
      </c>
      <c r="B294" s="5" t="s">
        <v>1500</v>
      </c>
      <c r="C294" s="5" t="s">
        <v>1501</v>
      </c>
      <c r="D294" s="6" t="s">
        <v>3781</v>
      </c>
      <c r="E294" s="5" t="s">
        <v>3782</v>
      </c>
      <c r="F294" s="5"/>
      <c r="G294" s="6" t="s">
        <v>3860</v>
      </c>
    </row>
    <row r="295" customFormat="false" ht="15" hidden="false" customHeight="false" outlineLevel="0" collapsed="false">
      <c r="A295" s="5" t="s">
        <v>34</v>
      </c>
      <c r="B295" s="5" t="s">
        <v>1500</v>
      </c>
      <c r="C295" s="5" t="s">
        <v>1501</v>
      </c>
      <c r="D295" s="6" t="s">
        <v>3784</v>
      </c>
      <c r="E295" s="5" t="s">
        <v>3785</v>
      </c>
      <c r="F295" s="5"/>
      <c r="G295" s="6" t="s">
        <v>3861</v>
      </c>
    </row>
    <row r="296" customFormat="false" ht="15" hidden="false" customHeight="false" outlineLevel="0" collapsed="false">
      <c r="A296" s="5" t="s">
        <v>34</v>
      </c>
      <c r="B296" s="5" t="s">
        <v>1500</v>
      </c>
      <c r="C296" s="5" t="s">
        <v>1501</v>
      </c>
      <c r="D296" s="6" t="s">
        <v>3787</v>
      </c>
      <c r="E296" s="5" t="s">
        <v>3788</v>
      </c>
      <c r="F296" s="5"/>
      <c r="G296" s="6" t="s">
        <v>3862</v>
      </c>
    </row>
    <row r="297" customFormat="false" ht="15" hidden="false" customHeight="false" outlineLevel="0" collapsed="false">
      <c r="A297" s="5" t="s">
        <v>34</v>
      </c>
      <c r="B297" s="5" t="s">
        <v>1500</v>
      </c>
      <c r="C297" s="5" t="s">
        <v>1501</v>
      </c>
      <c r="D297" s="6" t="s">
        <v>3790</v>
      </c>
      <c r="E297" s="5" t="s">
        <v>3791</v>
      </c>
      <c r="F297" s="5"/>
      <c r="G297" s="6" t="s">
        <v>3863</v>
      </c>
    </row>
    <row r="298" customFormat="false" ht="15" hidden="false" customHeight="false" outlineLevel="0" collapsed="false">
      <c r="A298" s="5" t="s">
        <v>34</v>
      </c>
      <c r="B298" s="5" t="s">
        <v>1500</v>
      </c>
      <c r="C298" s="5" t="s">
        <v>1501</v>
      </c>
      <c r="D298" s="6" t="s">
        <v>3793</v>
      </c>
      <c r="E298" s="5" t="s">
        <v>3794</v>
      </c>
      <c r="F298" s="5"/>
      <c r="G298" s="6" t="s">
        <v>3864</v>
      </c>
    </row>
    <row r="299" customFormat="false" ht="15" hidden="false" customHeight="false" outlineLevel="0" collapsed="false">
      <c r="A299" s="5" t="s">
        <v>34</v>
      </c>
      <c r="B299" s="5" t="s">
        <v>1500</v>
      </c>
      <c r="C299" s="5" t="s">
        <v>1501</v>
      </c>
      <c r="D299" s="6" t="s">
        <v>3796</v>
      </c>
      <c r="E299" s="5" t="s">
        <v>3797</v>
      </c>
      <c r="F299" s="5"/>
      <c r="G299" s="6" t="s">
        <v>3865</v>
      </c>
    </row>
    <row r="300" customFormat="false" ht="15" hidden="false" customHeight="false" outlineLevel="0" collapsed="false">
      <c r="A300" s="5" t="s">
        <v>34</v>
      </c>
      <c r="B300" s="5" t="s">
        <v>1500</v>
      </c>
      <c r="C300" s="5" t="s">
        <v>1501</v>
      </c>
      <c r="D300" s="6" t="s">
        <v>3799</v>
      </c>
      <c r="E300" s="5" t="s">
        <v>3800</v>
      </c>
      <c r="F300" s="5"/>
      <c r="G300" s="6" t="s">
        <v>3866</v>
      </c>
    </row>
    <row r="301" customFormat="false" ht="15" hidden="false" customHeight="false" outlineLevel="0" collapsed="false">
      <c r="A301" s="5" t="s">
        <v>34</v>
      </c>
      <c r="B301" s="5" t="s">
        <v>1500</v>
      </c>
      <c r="C301" s="5" t="s">
        <v>1501</v>
      </c>
      <c r="D301" s="6" t="s">
        <v>3802</v>
      </c>
      <c r="E301" s="5" t="s">
        <v>3803</v>
      </c>
      <c r="F301" s="5"/>
      <c r="G301" s="6" t="s">
        <v>3867</v>
      </c>
    </row>
    <row r="302" customFormat="false" ht="15" hidden="false" customHeight="false" outlineLevel="0" collapsed="false">
      <c r="A302" s="5" t="s">
        <v>34</v>
      </c>
      <c r="B302" s="5" t="s">
        <v>1500</v>
      </c>
      <c r="C302" s="5" t="s">
        <v>1501</v>
      </c>
      <c r="D302" s="6" t="s">
        <v>3805</v>
      </c>
      <c r="E302" s="5" t="s">
        <v>3806</v>
      </c>
      <c r="F302" s="5"/>
      <c r="G302" s="6" t="s">
        <v>3868</v>
      </c>
    </row>
    <row r="303" customFormat="false" ht="15" hidden="false" customHeight="false" outlineLevel="0" collapsed="false">
      <c r="A303" s="5" t="s">
        <v>34</v>
      </c>
      <c r="B303" s="5" t="s">
        <v>1500</v>
      </c>
      <c r="C303" s="5" t="s">
        <v>1501</v>
      </c>
      <c r="D303" s="6" t="s">
        <v>3808</v>
      </c>
      <c r="E303" s="5" t="s">
        <v>3809</v>
      </c>
      <c r="F303" s="5"/>
      <c r="G303" s="6" t="s">
        <v>3869</v>
      </c>
    </row>
    <row r="304" customFormat="false" ht="15" hidden="false" customHeight="false" outlineLevel="0" collapsed="false">
      <c r="A304" s="5" t="s">
        <v>34</v>
      </c>
      <c r="B304" s="5" t="s">
        <v>1500</v>
      </c>
      <c r="C304" s="5" t="s">
        <v>1501</v>
      </c>
      <c r="D304" s="6" t="s">
        <v>3811</v>
      </c>
      <c r="E304" s="5" t="s">
        <v>3812</v>
      </c>
      <c r="F304" s="5"/>
      <c r="G304" s="6" t="s">
        <v>3870</v>
      </c>
    </row>
    <row r="305" customFormat="false" ht="15" hidden="false" customHeight="false" outlineLevel="0" collapsed="false">
      <c r="A305" s="5" t="s">
        <v>34</v>
      </c>
      <c r="B305" s="5" t="s">
        <v>1500</v>
      </c>
      <c r="C305" s="5" t="s">
        <v>1501</v>
      </c>
      <c r="D305" s="6" t="s">
        <v>3814</v>
      </c>
      <c r="E305" s="5" t="s">
        <v>3815</v>
      </c>
      <c r="F305" s="5"/>
      <c r="G305" s="6" t="s">
        <v>3871</v>
      </c>
    </row>
    <row r="306" customFormat="false" ht="15" hidden="false" customHeight="false" outlineLevel="0" collapsed="false">
      <c r="A306" s="5" t="s">
        <v>34</v>
      </c>
      <c r="B306" s="5" t="s">
        <v>1500</v>
      </c>
      <c r="C306" s="5" t="s">
        <v>1501</v>
      </c>
      <c r="D306" s="6" t="s">
        <v>3817</v>
      </c>
      <c r="E306" s="5" t="s">
        <v>3818</v>
      </c>
      <c r="F306" s="5"/>
      <c r="G306" s="6" t="s">
        <v>3872</v>
      </c>
    </row>
    <row r="307" customFormat="false" ht="15" hidden="false" customHeight="false" outlineLevel="0" collapsed="false">
      <c r="A307" s="5" t="s">
        <v>34</v>
      </c>
      <c r="B307" s="5" t="s">
        <v>1500</v>
      </c>
      <c r="C307" s="5" t="s">
        <v>1501</v>
      </c>
      <c r="D307" s="6" t="s">
        <v>3820</v>
      </c>
      <c r="E307" s="5" t="s">
        <v>3821</v>
      </c>
      <c r="F307" s="5"/>
      <c r="G307" s="6" t="s">
        <v>3873</v>
      </c>
    </row>
    <row r="308" customFormat="false" ht="15" hidden="false" customHeight="false" outlineLevel="0" collapsed="false">
      <c r="A308" s="5" t="s">
        <v>34</v>
      </c>
      <c r="B308" s="5" t="s">
        <v>1500</v>
      </c>
      <c r="C308" s="5" t="s">
        <v>1501</v>
      </c>
      <c r="D308" s="6" t="s">
        <v>3823</v>
      </c>
      <c r="E308" s="5" t="s">
        <v>3824</v>
      </c>
      <c r="F308" s="5"/>
      <c r="G308" s="6" t="s">
        <v>3874</v>
      </c>
    </row>
    <row r="309" customFormat="false" ht="15" hidden="false" customHeight="false" outlineLevel="0" collapsed="false">
      <c r="A309" s="5" t="s">
        <v>34</v>
      </c>
      <c r="B309" s="5" t="s">
        <v>1500</v>
      </c>
      <c r="C309" s="5" t="s">
        <v>1501</v>
      </c>
      <c r="D309" s="6" t="s">
        <v>3826</v>
      </c>
      <c r="E309" s="5" t="s">
        <v>3827</v>
      </c>
      <c r="F309" s="5"/>
      <c r="G309" s="6" t="s">
        <v>3875</v>
      </c>
    </row>
    <row r="310" customFormat="false" ht="15" hidden="false" customHeight="false" outlineLevel="0" collapsed="false">
      <c r="A310" s="5" t="s">
        <v>34</v>
      </c>
      <c r="B310" s="5" t="s">
        <v>174</v>
      </c>
      <c r="C310" s="5" t="s">
        <v>1553</v>
      </c>
      <c r="D310" s="6" t="s">
        <v>3876</v>
      </c>
      <c r="E310" s="5" t="s">
        <v>3877</v>
      </c>
      <c r="F310" s="5"/>
      <c r="G310" s="6" t="s">
        <v>3878</v>
      </c>
    </row>
    <row r="311" customFormat="false" ht="15" hidden="false" customHeight="false" outlineLevel="0" collapsed="false">
      <c r="A311" s="5" t="s">
        <v>34</v>
      </c>
      <c r="B311" s="5" t="s">
        <v>174</v>
      </c>
      <c r="C311" s="5" t="s">
        <v>1553</v>
      </c>
      <c r="D311" s="6" t="s">
        <v>3879</v>
      </c>
      <c r="E311" s="5" t="s">
        <v>3880</v>
      </c>
      <c r="F311" s="5"/>
      <c r="G311" s="6" t="s">
        <v>3881</v>
      </c>
    </row>
    <row r="312" customFormat="false" ht="15" hidden="false" customHeight="false" outlineLevel="0" collapsed="false">
      <c r="A312" s="5" t="s">
        <v>34</v>
      </c>
      <c r="B312" s="5" t="s">
        <v>174</v>
      </c>
      <c r="C312" s="5" t="s">
        <v>1553</v>
      </c>
      <c r="D312" s="6" t="s">
        <v>3882</v>
      </c>
      <c r="E312" s="5" t="s">
        <v>3883</v>
      </c>
      <c r="F312" s="5"/>
      <c r="G312" s="6" t="s">
        <v>3884</v>
      </c>
    </row>
    <row r="313" customFormat="false" ht="15" hidden="false" customHeight="false" outlineLevel="0" collapsed="false">
      <c r="A313" s="5" t="s">
        <v>34</v>
      </c>
      <c r="B313" s="5" t="s">
        <v>174</v>
      </c>
      <c r="C313" s="5" t="s">
        <v>1553</v>
      </c>
      <c r="D313" s="6" t="s">
        <v>3885</v>
      </c>
      <c r="E313" s="5" t="s">
        <v>3886</v>
      </c>
      <c r="F313" s="5"/>
      <c r="G313" s="6" t="s">
        <v>3887</v>
      </c>
    </row>
    <row r="314" customFormat="false" ht="15" hidden="false" customHeight="false" outlineLevel="0" collapsed="false">
      <c r="A314" s="5" t="s">
        <v>34</v>
      </c>
      <c r="B314" s="5" t="s">
        <v>174</v>
      </c>
      <c r="C314" s="5" t="s">
        <v>1553</v>
      </c>
      <c r="D314" s="6" t="s">
        <v>3888</v>
      </c>
      <c r="E314" s="5" t="s">
        <v>3889</v>
      </c>
      <c r="F314" s="5"/>
      <c r="G314" s="6" t="s">
        <v>3890</v>
      </c>
    </row>
    <row r="315" customFormat="false" ht="15" hidden="false" customHeight="false" outlineLevel="0" collapsed="false">
      <c r="A315" s="5" t="s">
        <v>34</v>
      </c>
      <c r="B315" s="5" t="s">
        <v>174</v>
      </c>
      <c r="C315" s="5" t="s">
        <v>1553</v>
      </c>
      <c r="D315" s="6" t="s">
        <v>3891</v>
      </c>
      <c r="E315" s="5" t="s">
        <v>3892</v>
      </c>
      <c r="F315" s="5"/>
      <c r="G315" s="6" t="s">
        <v>3893</v>
      </c>
    </row>
    <row r="316" customFormat="false" ht="15" hidden="false" customHeight="false" outlineLevel="0" collapsed="false">
      <c r="A316" s="5" t="s">
        <v>34</v>
      </c>
      <c r="B316" s="5" t="s">
        <v>174</v>
      </c>
      <c r="C316" s="5" t="s">
        <v>1553</v>
      </c>
      <c r="D316" s="6" t="s">
        <v>3894</v>
      </c>
      <c r="E316" s="5" t="s">
        <v>3895</v>
      </c>
      <c r="F316" s="5"/>
      <c r="G316" s="6" t="s">
        <v>3896</v>
      </c>
    </row>
    <row r="317" customFormat="false" ht="15" hidden="false" customHeight="false" outlineLevel="0" collapsed="false">
      <c r="A317" s="5" t="s">
        <v>34</v>
      </c>
      <c r="B317" s="5" t="s">
        <v>174</v>
      </c>
      <c r="C317" s="5" t="s">
        <v>1553</v>
      </c>
      <c r="D317" s="6" t="s">
        <v>3897</v>
      </c>
      <c r="E317" s="5" t="s">
        <v>3898</v>
      </c>
      <c r="F317" s="5"/>
      <c r="G317" s="6" t="s">
        <v>3899</v>
      </c>
    </row>
    <row r="318" customFormat="false" ht="15" hidden="false" customHeight="false" outlineLevel="0" collapsed="false">
      <c r="A318" s="5" t="s">
        <v>34</v>
      </c>
      <c r="B318" s="5" t="s">
        <v>174</v>
      </c>
      <c r="C318" s="5" t="s">
        <v>1553</v>
      </c>
      <c r="D318" s="6" t="s">
        <v>3900</v>
      </c>
      <c r="E318" s="5" t="s">
        <v>3901</v>
      </c>
      <c r="F318" s="5"/>
      <c r="G318" s="6" t="s">
        <v>3902</v>
      </c>
    </row>
    <row r="319" customFormat="false" ht="15" hidden="false" customHeight="false" outlineLevel="0" collapsed="false">
      <c r="A319" s="5" t="s">
        <v>34</v>
      </c>
      <c r="B319" s="5" t="s">
        <v>174</v>
      </c>
      <c r="C319" s="5" t="s">
        <v>1553</v>
      </c>
      <c r="D319" s="6" t="s">
        <v>3903</v>
      </c>
      <c r="E319" s="5" t="s">
        <v>3904</v>
      </c>
      <c r="F319" s="5"/>
      <c r="G319" s="6" t="s">
        <v>3905</v>
      </c>
    </row>
    <row r="320" customFormat="false" ht="15" hidden="false" customHeight="false" outlineLevel="0" collapsed="false">
      <c r="A320" s="5" t="s">
        <v>34</v>
      </c>
      <c r="B320" s="5" t="s">
        <v>174</v>
      </c>
      <c r="C320" s="5" t="s">
        <v>1553</v>
      </c>
      <c r="D320" s="6" t="s">
        <v>3906</v>
      </c>
      <c r="E320" s="5" t="s">
        <v>3907</v>
      </c>
      <c r="F320" s="5"/>
      <c r="G320" s="6" t="s">
        <v>3908</v>
      </c>
    </row>
    <row r="321" customFormat="false" ht="15" hidden="false" customHeight="false" outlineLevel="0" collapsed="false">
      <c r="A321" s="5" t="s">
        <v>34</v>
      </c>
      <c r="B321" s="5" t="s">
        <v>174</v>
      </c>
      <c r="C321" s="5" t="s">
        <v>1553</v>
      </c>
      <c r="D321" s="6" t="s">
        <v>3909</v>
      </c>
      <c r="E321" s="5" t="s">
        <v>3910</v>
      </c>
      <c r="F321" s="5"/>
      <c r="G321" s="6" t="s">
        <v>3911</v>
      </c>
    </row>
    <row r="322" customFormat="false" ht="15" hidden="false" customHeight="false" outlineLevel="0" collapsed="false">
      <c r="A322" s="5" t="s">
        <v>34</v>
      </c>
      <c r="B322" s="5" t="s">
        <v>174</v>
      </c>
      <c r="C322" s="5" t="s">
        <v>1553</v>
      </c>
      <c r="D322" s="6" t="s">
        <v>3912</v>
      </c>
      <c r="E322" s="5" t="s">
        <v>3913</v>
      </c>
      <c r="F322" s="5"/>
      <c r="G322" s="6" t="s">
        <v>3914</v>
      </c>
    </row>
    <row r="323" customFormat="false" ht="15" hidden="false" customHeight="false" outlineLevel="0" collapsed="false">
      <c r="A323" s="5" t="s">
        <v>34</v>
      </c>
      <c r="B323" s="5" t="s">
        <v>174</v>
      </c>
      <c r="C323" s="5" t="s">
        <v>1553</v>
      </c>
      <c r="D323" s="6" t="s">
        <v>3915</v>
      </c>
      <c r="E323" s="5" t="s">
        <v>3916</v>
      </c>
      <c r="F323" s="5"/>
      <c r="G323" s="6" t="s">
        <v>3917</v>
      </c>
    </row>
    <row r="324" customFormat="false" ht="15" hidden="false" customHeight="false" outlineLevel="0" collapsed="false">
      <c r="A324" s="5" t="s">
        <v>34</v>
      </c>
      <c r="B324" s="5" t="s">
        <v>174</v>
      </c>
      <c r="C324" s="5" t="s">
        <v>1553</v>
      </c>
      <c r="D324" s="6" t="s">
        <v>3918</v>
      </c>
      <c r="E324" s="5" t="s">
        <v>3919</v>
      </c>
      <c r="F324" s="5"/>
      <c r="G324" s="6" t="s">
        <v>3920</v>
      </c>
    </row>
    <row r="325" customFormat="false" ht="15" hidden="false" customHeight="false" outlineLevel="0" collapsed="false">
      <c r="A325" s="5" t="s">
        <v>34</v>
      </c>
      <c r="B325" s="5" t="s">
        <v>174</v>
      </c>
      <c r="C325" s="5" t="s">
        <v>1553</v>
      </c>
      <c r="D325" s="6" t="s">
        <v>3921</v>
      </c>
      <c r="E325" s="5" t="s">
        <v>3615</v>
      </c>
      <c r="F325" s="5"/>
      <c r="G325" s="6" t="s">
        <v>3922</v>
      </c>
    </row>
    <row r="326" customFormat="false" ht="15" hidden="false" customHeight="false" outlineLevel="0" collapsed="false">
      <c r="A326" s="5" t="s">
        <v>321</v>
      </c>
      <c r="B326" s="5" t="s">
        <v>165</v>
      </c>
      <c r="C326" s="5" t="s">
        <v>165</v>
      </c>
      <c r="D326" s="6" t="s">
        <v>3689</v>
      </c>
      <c r="E326" s="5" t="s">
        <v>3690</v>
      </c>
      <c r="F326" s="5"/>
      <c r="G326" s="6" t="s">
        <v>405</v>
      </c>
    </row>
    <row r="327" customFormat="false" ht="15" hidden="false" customHeight="false" outlineLevel="0" collapsed="false">
      <c r="A327" s="5" t="s">
        <v>321</v>
      </c>
      <c r="B327" s="5" t="s">
        <v>165</v>
      </c>
      <c r="C327" s="5" t="s">
        <v>165</v>
      </c>
      <c r="D327" s="6" t="s">
        <v>3691</v>
      </c>
      <c r="E327" s="5" t="s">
        <v>3692</v>
      </c>
      <c r="F327" s="5"/>
      <c r="G327" s="6" t="s">
        <v>3693</v>
      </c>
    </row>
    <row r="328" customFormat="false" ht="15" hidden="false" customHeight="false" outlineLevel="0" collapsed="false">
      <c r="A328" s="5" t="s">
        <v>321</v>
      </c>
      <c r="B328" s="5" t="s">
        <v>165</v>
      </c>
      <c r="C328" s="5" t="s">
        <v>165</v>
      </c>
      <c r="D328" s="6" t="s">
        <v>3694</v>
      </c>
      <c r="E328" s="5" t="s">
        <v>3695</v>
      </c>
      <c r="F328" s="5"/>
      <c r="G328" s="6" t="s">
        <v>3696</v>
      </c>
    </row>
    <row r="329" customFormat="false" ht="15" hidden="false" customHeight="false" outlineLevel="0" collapsed="false">
      <c r="A329" s="5" t="s">
        <v>321</v>
      </c>
      <c r="B329" s="5" t="s">
        <v>165</v>
      </c>
      <c r="C329" s="5" t="s">
        <v>165</v>
      </c>
      <c r="D329" s="6" t="s">
        <v>3697</v>
      </c>
      <c r="E329" s="5" t="s">
        <v>3698</v>
      </c>
      <c r="F329" s="5"/>
      <c r="G329" s="6" t="s">
        <v>3699</v>
      </c>
    </row>
    <row r="330" customFormat="false" ht="15" hidden="false" customHeight="false" outlineLevel="0" collapsed="false">
      <c r="A330" s="5" t="s">
        <v>321</v>
      </c>
      <c r="B330" s="5" t="s">
        <v>165</v>
      </c>
      <c r="C330" s="5" t="s">
        <v>165</v>
      </c>
      <c r="D330" s="6" t="s">
        <v>3700</v>
      </c>
      <c r="E330" s="5" t="s">
        <v>3701</v>
      </c>
      <c r="F330" s="5"/>
      <c r="G330" s="6" t="s">
        <v>3702</v>
      </c>
    </row>
    <row r="331" customFormat="false" ht="15" hidden="false" customHeight="false" outlineLevel="0" collapsed="false">
      <c r="A331" s="5" t="s">
        <v>321</v>
      </c>
      <c r="B331" s="5" t="s">
        <v>165</v>
      </c>
      <c r="C331" s="5" t="s">
        <v>165</v>
      </c>
      <c r="D331" s="6" t="s">
        <v>3703</v>
      </c>
      <c r="E331" s="5" t="s">
        <v>3704</v>
      </c>
      <c r="F331" s="5"/>
      <c r="G331" s="6" t="s">
        <v>3705</v>
      </c>
    </row>
    <row r="332" customFormat="false" ht="15" hidden="false" customHeight="false" outlineLevel="0" collapsed="false">
      <c r="A332" s="5" t="s">
        <v>321</v>
      </c>
      <c r="B332" s="5" t="s">
        <v>165</v>
      </c>
      <c r="C332" s="5" t="s">
        <v>165</v>
      </c>
      <c r="D332" s="6" t="s">
        <v>3706</v>
      </c>
      <c r="E332" s="5" t="s">
        <v>3707</v>
      </c>
      <c r="F332" s="5"/>
      <c r="G332" s="6" t="s">
        <v>3708</v>
      </c>
    </row>
    <row r="333" customFormat="false" ht="15" hidden="false" customHeight="false" outlineLevel="0" collapsed="false">
      <c r="A333" s="5" t="s">
        <v>321</v>
      </c>
      <c r="B333" s="5" t="s">
        <v>165</v>
      </c>
      <c r="C333" s="5" t="s">
        <v>165</v>
      </c>
      <c r="D333" s="6" t="s">
        <v>3709</v>
      </c>
      <c r="E333" s="5" t="s">
        <v>3710</v>
      </c>
      <c r="F333" s="5"/>
      <c r="G333" s="6" t="s">
        <v>3711</v>
      </c>
    </row>
    <row r="334" customFormat="false" ht="15" hidden="false" customHeight="false" outlineLevel="0" collapsed="false">
      <c r="A334" s="5" t="s">
        <v>321</v>
      </c>
      <c r="B334" s="5" t="s">
        <v>165</v>
      </c>
      <c r="C334" s="5" t="s">
        <v>165</v>
      </c>
      <c r="D334" s="6" t="s">
        <v>3712</v>
      </c>
      <c r="E334" s="5" t="s">
        <v>3713</v>
      </c>
      <c r="F334" s="5"/>
      <c r="G334" s="6" t="s">
        <v>3714</v>
      </c>
    </row>
    <row r="335" customFormat="false" ht="15" hidden="false" customHeight="false" outlineLevel="0" collapsed="false">
      <c r="A335" s="5" t="s">
        <v>321</v>
      </c>
      <c r="B335" s="5" t="s">
        <v>165</v>
      </c>
      <c r="C335" s="5" t="s">
        <v>165</v>
      </c>
      <c r="D335" s="6" t="s">
        <v>3715</v>
      </c>
      <c r="E335" s="5" t="s">
        <v>3716</v>
      </c>
      <c r="F335" s="5"/>
      <c r="G335" s="6" t="s">
        <v>3717</v>
      </c>
    </row>
    <row r="336" customFormat="false" ht="15" hidden="false" customHeight="false" outlineLevel="0" collapsed="false">
      <c r="A336" s="5" t="s">
        <v>321</v>
      </c>
      <c r="B336" s="5" t="s">
        <v>165</v>
      </c>
      <c r="C336" s="5" t="s">
        <v>165</v>
      </c>
      <c r="D336" s="6" t="s">
        <v>3718</v>
      </c>
      <c r="E336" s="5" t="s">
        <v>3719</v>
      </c>
      <c r="F336" s="5"/>
      <c r="G336" s="6" t="s">
        <v>3720</v>
      </c>
    </row>
    <row r="337" customFormat="false" ht="15" hidden="false" customHeight="false" outlineLevel="0" collapsed="false">
      <c r="A337" s="5" t="s">
        <v>321</v>
      </c>
      <c r="B337" s="5" t="s">
        <v>165</v>
      </c>
      <c r="C337" s="5" t="s">
        <v>165</v>
      </c>
      <c r="D337" s="6" t="s">
        <v>3721</v>
      </c>
      <c r="E337" s="5" t="s">
        <v>3722</v>
      </c>
      <c r="F337" s="5"/>
      <c r="G337" s="6" t="s">
        <v>3723</v>
      </c>
    </row>
    <row r="338" customFormat="false" ht="15" hidden="false" customHeight="false" outlineLevel="0" collapsed="false">
      <c r="A338" s="5" t="s">
        <v>321</v>
      </c>
      <c r="B338" s="5" t="s">
        <v>165</v>
      </c>
      <c r="C338" s="5" t="s">
        <v>165</v>
      </c>
      <c r="D338" s="6" t="s">
        <v>3724</v>
      </c>
      <c r="E338" s="5" t="s">
        <v>3725</v>
      </c>
      <c r="F338" s="5"/>
      <c r="G338" s="6" t="s">
        <v>3726</v>
      </c>
    </row>
    <row r="339" customFormat="false" ht="15" hidden="false" customHeight="false" outlineLevel="0" collapsed="false">
      <c r="A339" s="5" t="s">
        <v>321</v>
      </c>
      <c r="B339" s="5" t="s">
        <v>165</v>
      </c>
      <c r="C339" s="5" t="s">
        <v>165</v>
      </c>
      <c r="D339" s="6" t="s">
        <v>3727</v>
      </c>
      <c r="E339" s="5" t="s">
        <v>3728</v>
      </c>
      <c r="F339" s="5"/>
      <c r="G339" s="6" t="s">
        <v>3729</v>
      </c>
    </row>
    <row r="340" customFormat="false" ht="15" hidden="false" customHeight="false" outlineLevel="0" collapsed="false">
      <c r="A340" s="5" t="s">
        <v>321</v>
      </c>
      <c r="B340" s="5" t="s">
        <v>165</v>
      </c>
      <c r="C340" s="5" t="s">
        <v>165</v>
      </c>
      <c r="D340" s="6" t="s">
        <v>3730</v>
      </c>
      <c r="E340" s="5" t="s">
        <v>3731</v>
      </c>
      <c r="F340" s="5"/>
      <c r="G340" s="6" t="s">
        <v>3732</v>
      </c>
    </row>
    <row r="341" customFormat="false" ht="15" hidden="false" customHeight="false" outlineLevel="0" collapsed="false">
      <c r="A341" s="5" t="s">
        <v>321</v>
      </c>
      <c r="B341" s="5" t="s">
        <v>165</v>
      </c>
      <c r="C341" s="5" t="s">
        <v>165</v>
      </c>
      <c r="D341" s="6" t="s">
        <v>3733</v>
      </c>
      <c r="E341" s="5" t="s">
        <v>3734</v>
      </c>
      <c r="F341" s="5"/>
      <c r="G341" s="6" t="s">
        <v>3735</v>
      </c>
    </row>
    <row r="342" customFormat="false" ht="15" hidden="false" customHeight="false" outlineLevel="0" collapsed="false">
      <c r="A342" s="5" t="s">
        <v>321</v>
      </c>
      <c r="B342" s="5" t="s">
        <v>165</v>
      </c>
      <c r="C342" s="5" t="s">
        <v>165</v>
      </c>
      <c r="D342" s="6" t="s">
        <v>3736</v>
      </c>
      <c r="E342" s="5" t="s">
        <v>3737</v>
      </c>
      <c r="F342" s="5"/>
      <c r="G342" s="6" t="s">
        <v>3738</v>
      </c>
    </row>
    <row r="343" customFormat="false" ht="15" hidden="false" customHeight="false" outlineLevel="0" collapsed="false">
      <c r="A343" s="5" t="s">
        <v>321</v>
      </c>
      <c r="B343" s="5" t="s">
        <v>165</v>
      </c>
      <c r="C343" s="5" t="s">
        <v>165</v>
      </c>
      <c r="D343" s="6" t="s">
        <v>3739</v>
      </c>
      <c r="E343" s="5" t="s">
        <v>3740</v>
      </c>
      <c r="F343" s="5"/>
      <c r="G343" s="6" t="s">
        <v>3741</v>
      </c>
    </row>
    <row r="344" customFormat="false" ht="15" hidden="false" customHeight="false" outlineLevel="0" collapsed="false">
      <c r="A344" s="5" t="s">
        <v>321</v>
      </c>
      <c r="B344" s="5" t="s">
        <v>165</v>
      </c>
      <c r="C344" s="5" t="s">
        <v>165</v>
      </c>
      <c r="D344" s="6" t="s">
        <v>3742</v>
      </c>
      <c r="E344" s="5" t="s">
        <v>3743</v>
      </c>
      <c r="F344" s="5"/>
      <c r="G344" s="6" t="s">
        <v>3744</v>
      </c>
    </row>
    <row r="345" customFormat="false" ht="15" hidden="false" customHeight="false" outlineLevel="0" collapsed="false">
      <c r="A345" s="5" t="s">
        <v>321</v>
      </c>
      <c r="B345" s="5" t="s">
        <v>165</v>
      </c>
      <c r="C345" s="5" t="s">
        <v>165</v>
      </c>
      <c r="D345" s="6" t="s">
        <v>3745</v>
      </c>
      <c r="E345" s="5" t="s">
        <v>3746</v>
      </c>
      <c r="F345" s="5"/>
      <c r="G345" s="6" t="s">
        <v>3747</v>
      </c>
    </row>
    <row r="346" customFormat="false" ht="15" hidden="false" customHeight="false" outlineLevel="0" collapsed="false">
      <c r="A346" s="5" t="s">
        <v>321</v>
      </c>
      <c r="B346" s="5" t="s">
        <v>165</v>
      </c>
      <c r="C346" s="5" t="s">
        <v>165</v>
      </c>
      <c r="D346" s="6" t="s">
        <v>3748</v>
      </c>
      <c r="E346" s="5" t="s">
        <v>3749</v>
      </c>
      <c r="F346" s="5"/>
      <c r="G346" s="6" t="s">
        <v>3750</v>
      </c>
    </row>
    <row r="347" customFormat="false" ht="15" hidden="false" customHeight="false" outlineLevel="0" collapsed="false">
      <c r="A347" s="5" t="s">
        <v>321</v>
      </c>
      <c r="B347" s="5" t="s">
        <v>165</v>
      </c>
      <c r="C347" s="5" t="s">
        <v>165</v>
      </c>
      <c r="D347" s="6" t="s">
        <v>3751</v>
      </c>
      <c r="E347" s="5" t="s">
        <v>3752</v>
      </c>
      <c r="F347" s="5"/>
      <c r="G347" s="6" t="s">
        <v>3753</v>
      </c>
    </row>
    <row r="348" customFormat="false" ht="15" hidden="false" customHeight="false" outlineLevel="0" collapsed="false">
      <c r="A348" s="5" t="s">
        <v>321</v>
      </c>
      <c r="B348" s="5" t="s">
        <v>165</v>
      </c>
      <c r="C348" s="5" t="s">
        <v>165</v>
      </c>
      <c r="D348" s="6" t="s">
        <v>3754</v>
      </c>
      <c r="E348" s="5" t="s">
        <v>3755</v>
      </c>
      <c r="F348" s="5"/>
      <c r="G348" s="6" t="s">
        <v>3756</v>
      </c>
    </row>
    <row r="349" customFormat="false" ht="15" hidden="false" customHeight="false" outlineLevel="0" collapsed="false">
      <c r="A349" s="5" t="s">
        <v>321</v>
      </c>
      <c r="B349" s="5" t="s">
        <v>165</v>
      </c>
      <c r="C349" s="5" t="s">
        <v>165</v>
      </c>
      <c r="D349" s="6" t="s">
        <v>3757</v>
      </c>
      <c r="E349" s="5" t="s">
        <v>3758</v>
      </c>
      <c r="F349" s="5"/>
      <c r="G349" s="6" t="s">
        <v>3759</v>
      </c>
    </row>
    <row r="350" customFormat="false" ht="15" hidden="false" customHeight="false" outlineLevel="0" collapsed="false">
      <c r="A350" s="5" t="s">
        <v>321</v>
      </c>
      <c r="B350" s="5" t="s">
        <v>165</v>
      </c>
      <c r="C350" s="5" t="s">
        <v>165</v>
      </c>
      <c r="D350" s="6" t="s">
        <v>3760</v>
      </c>
      <c r="E350" s="5" t="s">
        <v>3761</v>
      </c>
      <c r="F350" s="5"/>
      <c r="G350" s="6" t="s">
        <v>3762</v>
      </c>
    </row>
    <row r="351" customFormat="false" ht="15" hidden="false" customHeight="false" outlineLevel="0" collapsed="false">
      <c r="A351" s="5" t="s">
        <v>321</v>
      </c>
      <c r="B351" s="5" t="s">
        <v>165</v>
      </c>
      <c r="C351" s="5" t="s">
        <v>165</v>
      </c>
      <c r="D351" s="6" t="s">
        <v>3763</v>
      </c>
      <c r="E351" s="5" t="s">
        <v>3764</v>
      </c>
      <c r="F351" s="5"/>
      <c r="G351" s="6" t="s">
        <v>3765</v>
      </c>
    </row>
    <row r="352" customFormat="false" ht="15" hidden="false" customHeight="false" outlineLevel="0" collapsed="false">
      <c r="A352" s="5" t="s">
        <v>321</v>
      </c>
      <c r="B352" s="5" t="s">
        <v>165</v>
      </c>
      <c r="C352" s="5" t="s">
        <v>165</v>
      </c>
      <c r="D352" s="6" t="s">
        <v>3766</v>
      </c>
      <c r="E352" s="5" t="s">
        <v>3767</v>
      </c>
      <c r="F352" s="5"/>
      <c r="G352" s="6" t="s">
        <v>3768</v>
      </c>
    </row>
    <row r="353" customFormat="false" ht="15" hidden="false" customHeight="false" outlineLevel="0" collapsed="false">
      <c r="A353" s="5" t="s">
        <v>321</v>
      </c>
      <c r="B353" s="5" t="s">
        <v>165</v>
      </c>
      <c r="C353" s="5" t="s">
        <v>165</v>
      </c>
      <c r="D353" s="6" t="s">
        <v>3769</v>
      </c>
      <c r="E353" s="5" t="s">
        <v>3770</v>
      </c>
      <c r="F353" s="5"/>
      <c r="G353" s="6" t="s">
        <v>3771</v>
      </c>
    </row>
    <row r="354" customFormat="false" ht="15" hidden="false" customHeight="false" outlineLevel="0" collapsed="false">
      <c r="A354" s="5" t="s">
        <v>321</v>
      </c>
      <c r="B354" s="5" t="s">
        <v>165</v>
      </c>
      <c r="C354" s="5" t="s">
        <v>165</v>
      </c>
      <c r="D354" s="6" t="s">
        <v>3772</v>
      </c>
      <c r="E354" s="5" t="s">
        <v>3773</v>
      </c>
      <c r="F354" s="5"/>
      <c r="G354" s="6" t="s">
        <v>3774</v>
      </c>
    </row>
    <row r="355" customFormat="false" ht="15" hidden="false" customHeight="false" outlineLevel="0" collapsed="false">
      <c r="A355" s="5" t="s">
        <v>321</v>
      </c>
      <c r="B355" s="5" t="s">
        <v>165</v>
      </c>
      <c r="C355" s="5" t="s">
        <v>165</v>
      </c>
      <c r="D355" s="6" t="s">
        <v>3775</v>
      </c>
      <c r="E355" s="5" t="s">
        <v>3776</v>
      </c>
      <c r="F355" s="5"/>
      <c r="G355" s="6" t="s">
        <v>3777</v>
      </c>
    </row>
    <row r="356" customFormat="false" ht="15" hidden="false" customHeight="false" outlineLevel="0" collapsed="false">
      <c r="A356" s="5" t="s">
        <v>321</v>
      </c>
      <c r="B356" s="5" t="s">
        <v>165</v>
      </c>
      <c r="C356" s="5" t="s">
        <v>165</v>
      </c>
      <c r="D356" s="6" t="s">
        <v>3778</v>
      </c>
      <c r="E356" s="5" t="s">
        <v>3779</v>
      </c>
      <c r="F356" s="5"/>
      <c r="G356" s="6" t="s">
        <v>3780</v>
      </c>
    </row>
    <row r="357" customFormat="false" ht="15" hidden="false" customHeight="false" outlineLevel="0" collapsed="false">
      <c r="A357" s="5" t="s">
        <v>321</v>
      </c>
      <c r="B357" s="5" t="s">
        <v>165</v>
      </c>
      <c r="C357" s="5" t="s">
        <v>165</v>
      </c>
      <c r="D357" s="6" t="s">
        <v>3781</v>
      </c>
      <c r="E357" s="5" t="s">
        <v>3782</v>
      </c>
      <c r="F357" s="5"/>
      <c r="G357" s="6" t="s">
        <v>3783</v>
      </c>
    </row>
    <row r="358" customFormat="false" ht="15" hidden="false" customHeight="false" outlineLevel="0" collapsed="false">
      <c r="A358" s="5" t="s">
        <v>321</v>
      </c>
      <c r="B358" s="5" t="s">
        <v>165</v>
      </c>
      <c r="C358" s="5" t="s">
        <v>165</v>
      </c>
      <c r="D358" s="6" t="s">
        <v>3784</v>
      </c>
      <c r="E358" s="5" t="s">
        <v>3785</v>
      </c>
      <c r="F358" s="5"/>
      <c r="G358" s="6" t="s">
        <v>3786</v>
      </c>
    </row>
    <row r="359" customFormat="false" ht="15" hidden="false" customHeight="false" outlineLevel="0" collapsed="false">
      <c r="A359" s="5" t="s">
        <v>321</v>
      </c>
      <c r="B359" s="5" t="s">
        <v>165</v>
      </c>
      <c r="C359" s="5" t="s">
        <v>165</v>
      </c>
      <c r="D359" s="6" t="s">
        <v>3787</v>
      </c>
      <c r="E359" s="5" t="s">
        <v>3788</v>
      </c>
      <c r="F359" s="5"/>
      <c r="G359" s="6" t="s">
        <v>3789</v>
      </c>
    </row>
    <row r="360" customFormat="false" ht="15" hidden="false" customHeight="false" outlineLevel="0" collapsed="false">
      <c r="A360" s="5" t="s">
        <v>321</v>
      </c>
      <c r="B360" s="5" t="s">
        <v>165</v>
      </c>
      <c r="C360" s="5" t="s">
        <v>165</v>
      </c>
      <c r="D360" s="6" t="s">
        <v>3790</v>
      </c>
      <c r="E360" s="5" t="s">
        <v>3791</v>
      </c>
      <c r="F360" s="5"/>
      <c r="G360" s="6" t="s">
        <v>3792</v>
      </c>
    </row>
    <row r="361" customFormat="false" ht="15" hidden="false" customHeight="false" outlineLevel="0" collapsed="false">
      <c r="A361" s="5" t="s">
        <v>321</v>
      </c>
      <c r="B361" s="5" t="s">
        <v>165</v>
      </c>
      <c r="C361" s="5" t="s">
        <v>165</v>
      </c>
      <c r="D361" s="6" t="s">
        <v>3793</v>
      </c>
      <c r="E361" s="5" t="s">
        <v>3794</v>
      </c>
      <c r="F361" s="5"/>
      <c r="G361" s="6" t="s">
        <v>3795</v>
      </c>
    </row>
    <row r="362" customFormat="false" ht="15" hidden="false" customHeight="false" outlineLevel="0" collapsed="false">
      <c r="A362" s="5" t="s">
        <v>321</v>
      </c>
      <c r="B362" s="5" t="s">
        <v>165</v>
      </c>
      <c r="C362" s="5" t="s">
        <v>165</v>
      </c>
      <c r="D362" s="6" t="s">
        <v>3796</v>
      </c>
      <c r="E362" s="5" t="s">
        <v>3797</v>
      </c>
      <c r="F362" s="5"/>
      <c r="G362" s="6" t="s">
        <v>3798</v>
      </c>
    </row>
    <row r="363" customFormat="false" ht="15" hidden="false" customHeight="false" outlineLevel="0" collapsed="false">
      <c r="A363" s="5" t="s">
        <v>321</v>
      </c>
      <c r="B363" s="5" t="s">
        <v>165</v>
      </c>
      <c r="C363" s="5" t="s">
        <v>165</v>
      </c>
      <c r="D363" s="6" t="s">
        <v>3799</v>
      </c>
      <c r="E363" s="5" t="s">
        <v>3800</v>
      </c>
      <c r="F363" s="5"/>
      <c r="G363" s="6" t="s">
        <v>3801</v>
      </c>
    </row>
    <row r="364" customFormat="false" ht="15" hidden="false" customHeight="false" outlineLevel="0" collapsed="false">
      <c r="A364" s="5" t="s">
        <v>321</v>
      </c>
      <c r="B364" s="5" t="s">
        <v>165</v>
      </c>
      <c r="C364" s="5" t="s">
        <v>165</v>
      </c>
      <c r="D364" s="6" t="s">
        <v>3802</v>
      </c>
      <c r="E364" s="5" t="s">
        <v>3803</v>
      </c>
      <c r="F364" s="5"/>
      <c r="G364" s="6" t="s">
        <v>3804</v>
      </c>
    </row>
    <row r="365" customFormat="false" ht="15" hidden="false" customHeight="false" outlineLevel="0" collapsed="false">
      <c r="A365" s="5" t="s">
        <v>321</v>
      </c>
      <c r="B365" s="5" t="s">
        <v>165</v>
      </c>
      <c r="C365" s="5" t="s">
        <v>165</v>
      </c>
      <c r="D365" s="6" t="s">
        <v>3805</v>
      </c>
      <c r="E365" s="5" t="s">
        <v>3806</v>
      </c>
      <c r="F365" s="5"/>
      <c r="G365" s="6" t="s">
        <v>3807</v>
      </c>
    </row>
    <row r="366" customFormat="false" ht="15" hidden="false" customHeight="false" outlineLevel="0" collapsed="false">
      <c r="A366" s="5" t="s">
        <v>321</v>
      </c>
      <c r="B366" s="5" t="s">
        <v>165</v>
      </c>
      <c r="C366" s="5" t="s">
        <v>165</v>
      </c>
      <c r="D366" s="6" t="s">
        <v>3808</v>
      </c>
      <c r="E366" s="5" t="s">
        <v>3809</v>
      </c>
      <c r="F366" s="5"/>
      <c r="G366" s="6" t="s">
        <v>3810</v>
      </c>
    </row>
    <row r="367" customFormat="false" ht="15" hidden="false" customHeight="false" outlineLevel="0" collapsed="false">
      <c r="A367" s="5" t="s">
        <v>321</v>
      </c>
      <c r="B367" s="5" t="s">
        <v>165</v>
      </c>
      <c r="C367" s="5" t="s">
        <v>165</v>
      </c>
      <c r="D367" s="6" t="s">
        <v>3811</v>
      </c>
      <c r="E367" s="5" t="s">
        <v>3812</v>
      </c>
      <c r="F367" s="5"/>
      <c r="G367" s="6" t="s">
        <v>3813</v>
      </c>
    </row>
    <row r="368" customFormat="false" ht="15" hidden="false" customHeight="false" outlineLevel="0" collapsed="false">
      <c r="A368" s="5" t="s">
        <v>321</v>
      </c>
      <c r="B368" s="5" t="s">
        <v>165</v>
      </c>
      <c r="C368" s="5" t="s">
        <v>165</v>
      </c>
      <c r="D368" s="6" t="s">
        <v>3814</v>
      </c>
      <c r="E368" s="5" t="s">
        <v>3815</v>
      </c>
      <c r="F368" s="5"/>
      <c r="G368" s="6" t="s">
        <v>3816</v>
      </c>
    </row>
    <row r="369" customFormat="false" ht="15" hidden="false" customHeight="false" outlineLevel="0" collapsed="false">
      <c r="A369" s="5" t="s">
        <v>321</v>
      </c>
      <c r="B369" s="5" t="s">
        <v>165</v>
      </c>
      <c r="C369" s="5" t="s">
        <v>165</v>
      </c>
      <c r="D369" s="6" t="s">
        <v>3817</v>
      </c>
      <c r="E369" s="5" t="s">
        <v>3818</v>
      </c>
      <c r="F369" s="5"/>
      <c r="G369" s="6" t="s">
        <v>3819</v>
      </c>
    </row>
    <row r="370" customFormat="false" ht="15" hidden="false" customHeight="false" outlineLevel="0" collapsed="false">
      <c r="A370" s="5" t="s">
        <v>321</v>
      </c>
      <c r="B370" s="5" t="s">
        <v>165</v>
      </c>
      <c r="C370" s="5" t="s">
        <v>165</v>
      </c>
      <c r="D370" s="6" t="s">
        <v>3820</v>
      </c>
      <c r="E370" s="5" t="s">
        <v>3821</v>
      </c>
      <c r="F370" s="5"/>
      <c r="G370" s="6" t="s">
        <v>3822</v>
      </c>
    </row>
    <row r="371" customFormat="false" ht="15" hidden="false" customHeight="false" outlineLevel="0" collapsed="false">
      <c r="A371" s="5" t="s">
        <v>321</v>
      </c>
      <c r="B371" s="5" t="s">
        <v>165</v>
      </c>
      <c r="C371" s="5" t="s">
        <v>165</v>
      </c>
      <c r="D371" s="6" t="s">
        <v>3823</v>
      </c>
      <c r="E371" s="5" t="s">
        <v>3824</v>
      </c>
      <c r="F371" s="5"/>
      <c r="G371" s="6" t="s">
        <v>3825</v>
      </c>
    </row>
    <row r="372" customFormat="false" ht="15" hidden="false" customHeight="false" outlineLevel="0" collapsed="false">
      <c r="A372" s="5" t="s">
        <v>321</v>
      </c>
      <c r="B372" s="5" t="s">
        <v>165</v>
      </c>
      <c r="C372" s="5" t="s">
        <v>165</v>
      </c>
      <c r="D372" s="6" t="s">
        <v>3826</v>
      </c>
      <c r="E372" s="5" t="s">
        <v>3827</v>
      </c>
      <c r="F372" s="5"/>
      <c r="G372" s="6" t="s">
        <v>3828</v>
      </c>
    </row>
    <row r="373" customFormat="false" ht="15" hidden="false" customHeight="false" outlineLevel="0" collapsed="false">
      <c r="A373" s="5" t="s">
        <v>321</v>
      </c>
      <c r="B373" s="5" t="s">
        <v>3923</v>
      </c>
      <c r="C373" s="5" t="s">
        <v>3923</v>
      </c>
      <c r="D373" s="6" t="s">
        <v>3924</v>
      </c>
      <c r="E373" s="5" t="s">
        <v>3924</v>
      </c>
      <c r="F373" s="5"/>
      <c r="G373" s="6" t="s">
        <v>3925</v>
      </c>
    </row>
    <row r="374" customFormat="false" ht="15" hidden="false" customHeight="false" outlineLevel="0" collapsed="false">
      <c r="A374" s="5" t="s">
        <v>321</v>
      </c>
      <c r="B374" s="5" t="s">
        <v>3923</v>
      </c>
      <c r="C374" s="5" t="s">
        <v>3923</v>
      </c>
      <c r="D374" s="6" t="s">
        <v>3926</v>
      </c>
      <c r="E374" s="5" t="s">
        <v>3926</v>
      </c>
      <c r="F374" s="5"/>
      <c r="G374" s="6" t="s">
        <v>3927</v>
      </c>
    </row>
    <row r="375" customFormat="false" ht="15" hidden="false" customHeight="false" outlineLevel="0" collapsed="false">
      <c r="A375" s="5" t="s">
        <v>321</v>
      </c>
      <c r="B375" s="5" t="s">
        <v>3923</v>
      </c>
      <c r="C375" s="5" t="s">
        <v>3923</v>
      </c>
      <c r="D375" s="6" t="s">
        <v>3928</v>
      </c>
      <c r="E375" s="5" t="s">
        <v>3928</v>
      </c>
      <c r="F375" s="5"/>
      <c r="G375" s="6" t="s">
        <v>3929</v>
      </c>
    </row>
    <row r="376" customFormat="false" ht="15" hidden="false" customHeight="false" outlineLevel="0" collapsed="false">
      <c r="A376" s="5" t="s">
        <v>321</v>
      </c>
      <c r="B376" s="5" t="s">
        <v>3923</v>
      </c>
      <c r="C376" s="5" t="s">
        <v>3923</v>
      </c>
      <c r="D376" s="6" t="s">
        <v>3930</v>
      </c>
      <c r="E376" s="5" t="s">
        <v>3930</v>
      </c>
      <c r="F376" s="5"/>
      <c r="G376" s="6" t="s">
        <v>3931</v>
      </c>
    </row>
    <row r="377" customFormat="false" ht="15" hidden="false" customHeight="false" outlineLevel="0" collapsed="false">
      <c r="A377" s="5" t="s">
        <v>321</v>
      </c>
      <c r="B377" s="5" t="s">
        <v>3932</v>
      </c>
      <c r="C377" s="5" t="s">
        <v>3932</v>
      </c>
      <c r="D377" s="6" t="s">
        <v>3933</v>
      </c>
      <c r="E377" s="5" t="s">
        <v>3933</v>
      </c>
      <c r="F377" s="5"/>
      <c r="G377" s="6" t="s">
        <v>3934</v>
      </c>
    </row>
    <row r="378" customFormat="false" ht="15" hidden="false" customHeight="false" outlineLevel="0" collapsed="false">
      <c r="A378" s="5" t="s">
        <v>321</v>
      </c>
      <c r="B378" s="5" t="s">
        <v>3932</v>
      </c>
      <c r="C378" s="5" t="s">
        <v>3932</v>
      </c>
      <c r="D378" s="6" t="s">
        <v>3935</v>
      </c>
      <c r="E378" s="5" t="s">
        <v>3935</v>
      </c>
      <c r="F378" s="5"/>
      <c r="G378" s="6" t="s">
        <v>3936</v>
      </c>
    </row>
    <row r="379" customFormat="false" ht="15" hidden="false" customHeight="false" outlineLevel="0" collapsed="false">
      <c r="A379" s="5" t="s">
        <v>321</v>
      </c>
      <c r="B379" s="5" t="s">
        <v>3932</v>
      </c>
      <c r="C379" s="5" t="s">
        <v>3932</v>
      </c>
      <c r="D379" s="6" t="s">
        <v>3937</v>
      </c>
      <c r="E379" s="5" t="s">
        <v>3937</v>
      </c>
      <c r="F379" s="5"/>
      <c r="G379" s="6" t="s">
        <v>3938</v>
      </c>
    </row>
    <row r="380" customFormat="false" ht="15" hidden="false" customHeight="false" outlineLevel="0" collapsed="false">
      <c r="A380" s="5" t="s">
        <v>321</v>
      </c>
      <c r="B380" s="5" t="s">
        <v>3932</v>
      </c>
      <c r="C380" s="5" t="s">
        <v>3932</v>
      </c>
      <c r="D380" s="6" t="s">
        <v>3939</v>
      </c>
      <c r="E380" s="5" t="s">
        <v>3939</v>
      </c>
      <c r="F380" s="5"/>
      <c r="G380" s="6" t="s">
        <v>3940</v>
      </c>
    </row>
    <row r="381" customFormat="false" ht="15" hidden="false" customHeight="false" outlineLevel="0" collapsed="false">
      <c r="A381" s="5" t="s">
        <v>321</v>
      </c>
      <c r="B381" s="5" t="s">
        <v>3941</v>
      </c>
      <c r="C381" s="5" t="s">
        <v>3941</v>
      </c>
      <c r="D381" s="6" t="s">
        <v>3942</v>
      </c>
      <c r="E381" s="5" t="s">
        <v>3942</v>
      </c>
      <c r="F381" s="5"/>
      <c r="G381" s="6" t="s">
        <v>3943</v>
      </c>
    </row>
    <row r="382" customFormat="false" ht="15" hidden="false" customHeight="false" outlineLevel="0" collapsed="false">
      <c r="A382" s="5" t="s">
        <v>321</v>
      </c>
      <c r="B382" s="5" t="s">
        <v>3941</v>
      </c>
      <c r="C382" s="5" t="s">
        <v>3941</v>
      </c>
      <c r="D382" s="6" t="s">
        <v>3613</v>
      </c>
      <c r="E382" s="5" t="s">
        <v>3613</v>
      </c>
      <c r="F382" s="5"/>
      <c r="G382" s="6" t="s">
        <v>3944</v>
      </c>
    </row>
    <row r="383" customFormat="false" ht="15" hidden="false" customHeight="false" outlineLevel="0" collapsed="false">
      <c r="A383" s="5" t="s">
        <v>321</v>
      </c>
      <c r="B383" s="5" t="s">
        <v>3941</v>
      </c>
      <c r="C383" s="5" t="s">
        <v>3941</v>
      </c>
      <c r="D383" s="6" t="s">
        <v>3945</v>
      </c>
      <c r="E383" s="5" t="s">
        <v>3945</v>
      </c>
      <c r="F383" s="5"/>
      <c r="G383" s="6" t="s">
        <v>3946</v>
      </c>
    </row>
    <row r="384" customFormat="false" ht="15" hidden="false" customHeight="false" outlineLevel="0" collapsed="false">
      <c r="A384" s="5" t="s">
        <v>321</v>
      </c>
      <c r="B384" s="5" t="s">
        <v>3941</v>
      </c>
      <c r="C384" s="5" t="s">
        <v>3941</v>
      </c>
      <c r="D384" s="6" t="s">
        <v>3947</v>
      </c>
      <c r="E384" s="5" t="s">
        <v>3947</v>
      </c>
      <c r="F384" s="5"/>
      <c r="G384" s="6" t="s">
        <v>3948</v>
      </c>
    </row>
    <row r="385" customFormat="false" ht="15" hidden="false" customHeight="false" outlineLevel="0" collapsed="false">
      <c r="A385" s="5" t="s">
        <v>321</v>
      </c>
      <c r="B385" s="5" t="s">
        <v>3941</v>
      </c>
      <c r="C385" s="5" t="s">
        <v>3941</v>
      </c>
      <c r="D385" s="6" t="s">
        <v>3949</v>
      </c>
      <c r="E385" s="5" t="s">
        <v>3949</v>
      </c>
      <c r="F385" s="5"/>
      <c r="G385" s="6" t="s">
        <v>3950</v>
      </c>
    </row>
    <row r="386" customFormat="false" ht="15" hidden="false" customHeight="false" outlineLevel="0" collapsed="false">
      <c r="A386" s="5" t="s">
        <v>321</v>
      </c>
      <c r="B386" s="5" t="s">
        <v>3941</v>
      </c>
      <c r="C386" s="5" t="s">
        <v>3941</v>
      </c>
      <c r="D386" s="6" t="s">
        <v>3951</v>
      </c>
      <c r="E386" s="5" t="s">
        <v>3951</v>
      </c>
      <c r="F386" s="5"/>
      <c r="G386" s="6" t="s">
        <v>3952</v>
      </c>
    </row>
    <row r="387" customFormat="false" ht="15" hidden="false" customHeight="false" outlineLevel="0" collapsed="false">
      <c r="A387" s="5" t="s">
        <v>321</v>
      </c>
      <c r="B387" s="5" t="s">
        <v>3941</v>
      </c>
      <c r="C387" s="5" t="s">
        <v>3941</v>
      </c>
      <c r="D387" s="6" t="s">
        <v>3953</v>
      </c>
      <c r="E387" s="5" t="s">
        <v>3953</v>
      </c>
      <c r="F387" s="5"/>
      <c r="G387" s="6" t="s">
        <v>3954</v>
      </c>
    </row>
    <row r="388" customFormat="false" ht="15" hidden="false" customHeight="false" outlineLevel="0" collapsed="false">
      <c r="A388" s="5" t="s">
        <v>321</v>
      </c>
      <c r="B388" s="5" t="s">
        <v>3941</v>
      </c>
      <c r="C388" s="5" t="s">
        <v>3941</v>
      </c>
      <c r="D388" s="6" t="s">
        <v>3955</v>
      </c>
      <c r="E388" s="5" t="s">
        <v>3955</v>
      </c>
      <c r="F388" s="5"/>
      <c r="G388" s="6" t="s">
        <v>3956</v>
      </c>
    </row>
    <row r="389" customFormat="false" ht="22.35" hidden="false" customHeight="false" outlineLevel="0" collapsed="false">
      <c r="A389" s="5" t="s">
        <v>321</v>
      </c>
      <c r="B389" s="5" t="s">
        <v>3941</v>
      </c>
      <c r="C389" s="5" t="s">
        <v>3941</v>
      </c>
      <c r="D389" s="6" t="s">
        <v>3957</v>
      </c>
      <c r="E389" s="5" t="s">
        <v>3957</v>
      </c>
      <c r="F389" s="5"/>
      <c r="G389" s="6" t="s">
        <v>3958</v>
      </c>
    </row>
    <row r="390" customFormat="false" ht="15" hidden="false" customHeight="false" outlineLevel="0" collapsed="false">
      <c r="A390" s="5" t="s">
        <v>321</v>
      </c>
      <c r="B390" s="5" t="s">
        <v>3941</v>
      </c>
      <c r="C390" s="5" t="s">
        <v>3941</v>
      </c>
      <c r="D390" s="6" t="s">
        <v>3959</v>
      </c>
      <c r="E390" s="5" t="s">
        <v>3959</v>
      </c>
      <c r="F390" s="5"/>
      <c r="G390" s="6" t="s">
        <v>3960</v>
      </c>
    </row>
    <row r="391" customFormat="false" ht="15" hidden="false" customHeight="false" outlineLevel="0" collapsed="false">
      <c r="A391" s="5" t="s">
        <v>321</v>
      </c>
      <c r="B391" s="5" t="s">
        <v>3941</v>
      </c>
      <c r="C391" s="5" t="s">
        <v>3941</v>
      </c>
      <c r="D391" s="6" t="s">
        <v>3961</v>
      </c>
      <c r="E391" s="5" t="s">
        <v>3961</v>
      </c>
      <c r="F391" s="5"/>
      <c r="G391" s="6" t="s">
        <v>3962</v>
      </c>
    </row>
    <row r="392" customFormat="false" ht="15" hidden="false" customHeight="false" outlineLevel="0" collapsed="false">
      <c r="A392" s="5" t="s">
        <v>321</v>
      </c>
      <c r="B392" s="5" t="s">
        <v>3941</v>
      </c>
      <c r="C392" s="5" t="s">
        <v>3941</v>
      </c>
      <c r="D392" s="6" t="s">
        <v>3963</v>
      </c>
      <c r="E392" s="5" t="s">
        <v>3963</v>
      </c>
      <c r="F392" s="5"/>
      <c r="G392" s="6" t="s">
        <v>3964</v>
      </c>
    </row>
    <row r="393" customFormat="false" ht="15" hidden="false" customHeight="false" outlineLevel="0" collapsed="false">
      <c r="A393" s="5" t="s">
        <v>321</v>
      </c>
      <c r="B393" s="5" t="s">
        <v>3941</v>
      </c>
      <c r="C393" s="5" t="s">
        <v>3941</v>
      </c>
      <c r="D393" s="6" t="s">
        <v>3965</v>
      </c>
      <c r="E393" s="5" t="s">
        <v>3965</v>
      </c>
      <c r="F393" s="5"/>
      <c r="G393" s="6" t="s">
        <v>3966</v>
      </c>
    </row>
    <row r="394" customFormat="false" ht="15" hidden="false" customHeight="false" outlineLevel="0" collapsed="false">
      <c r="A394" s="5" t="s">
        <v>321</v>
      </c>
      <c r="B394" s="5" t="s">
        <v>3941</v>
      </c>
      <c r="C394" s="5" t="s">
        <v>3941</v>
      </c>
      <c r="D394" s="6" t="s">
        <v>3967</v>
      </c>
      <c r="E394" s="5" t="s">
        <v>3967</v>
      </c>
      <c r="F394" s="5"/>
      <c r="G394" s="6" t="s">
        <v>3968</v>
      </c>
    </row>
    <row r="395" customFormat="false" ht="15" hidden="false" customHeight="false" outlineLevel="0" collapsed="false">
      <c r="A395" s="5" t="s">
        <v>321</v>
      </c>
      <c r="B395" s="5" t="s">
        <v>3969</v>
      </c>
      <c r="C395" s="5" t="s">
        <v>3969</v>
      </c>
      <c r="D395" s="6" t="s">
        <v>3970</v>
      </c>
      <c r="E395" s="5" t="s">
        <v>3970</v>
      </c>
      <c r="F395" s="5"/>
      <c r="G395" s="6" t="s">
        <v>3971</v>
      </c>
    </row>
    <row r="396" customFormat="false" ht="15" hidden="false" customHeight="false" outlineLevel="0" collapsed="false">
      <c r="A396" s="5" t="s">
        <v>321</v>
      </c>
      <c r="B396" s="5" t="s">
        <v>3969</v>
      </c>
      <c r="C396" s="5" t="s">
        <v>3969</v>
      </c>
      <c r="D396" s="6" t="s">
        <v>3972</v>
      </c>
      <c r="E396" s="5" t="s">
        <v>3972</v>
      </c>
      <c r="F396" s="5"/>
      <c r="G396" s="6" t="s">
        <v>3973</v>
      </c>
    </row>
    <row r="397" customFormat="false" ht="15" hidden="false" customHeight="false" outlineLevel="0" collapsed="false">
      <c r="A397" s="5" t="s">
        <v>321</v>
      </c>
      <c r="B397" s="5" t="s">
        <v>3969</v>
      </c>
      <c r="C397" s="5" t="s">
        <v>3969</v>
      </c>
      <c r="D397" s="6" t="s">
        <v>3974</v>
      </c>
      <c r="E397" s="5" t="s">
        <v>3974</v>
      </c>
      <c r="F397" s="5"/>
      <c r="G397" s="6" t="s">
        <v>3975</v>
      </c>
    </row>
    <row r="398" customFormat="false" ht="15" hidden="false" customHeight="false" outlineLevel="0" collapsed="false">
      <c r="A398" s="5" t="s">
        <v>321</v>
      </c>
      <c r="B398" s="5" t="s">
        <v>3969</v>
      </c>
      <c r="C398" s="5" t="s">
        <v>3969</v>
      </c>
      <c r="D398" s="6" t="s">
        <v>3976</v>
      </c>
      <c r="E398" s="5" t="s">
        <v>3976</v>
      </c>
      <c r="F398" s="5"/>
      <c r="G398" s="6" t="s">
        <v>3977</v>
      </c>
    </row>
    <row r="399" customFormat="false" ht="15" hidden="false" customHeight="false" outlineLevel="0" collapsed="false">
      <c r="A399" s="5" t="s">
        <v>321</v>
      </c>
      <c r="B399" s="5" t="s">
        <v>3969</v>
      </c>
      <c r="C399" s="5" t="s">
        <v>3969</v>
      </c>
      <c r="D399" s="6" t="s">
        <v>3978</v>
      </c>
      <c r="E399" s="5" t="s">
        <v>3978</v>
      </c>
      <c r="F399" s="5"/>
      <c r="G399" s="6" t="s">
        <v>3979</v>
      </c>
    </row>
    <row r="400" customFormat="false" ht="15" hidden="false" customHeight="false" outlineLevel="0" collapsed="false">
      <c r="A400" s="5" t="s">
        <v>321</v>
      </c>
      <c r="B400" s="5" t="s">
        <v>3969</v>
      </c>
      <c r="C400" s="5" t="s">
        <v>3969</v>
      </c>
      <c r="D400" s="6" t="s">
        <v>3980</v>
      </c>
      <c r="E400" s="5" t="s">
        <v>3980</v>
      </c>
      <c r="F400" s="5"/>
      <c r="G400" s="6" t="s">
        <v>3981</v>
      </c>
    </row>
    <row r="401" customFormat="false" ht="15" hidden="false" customHeight="false" outlineLevel="0" collapsed="false">
      <c r="A401" s="5" t="s">
        <v>321</v>
      </c>
      <c r="B401" s="5" t="s">
        <v>3969</v>
      </c>
      <c r="C401" s="5" t="s">
        <v>3969</v>
      </c>
      <c r="D401" s="6" t="s">
        <v>3982</v>
      </c>
      <c r="E401" s="5" t="s">
        <v>3982</v>
      </c>
      <c r="F401" s="5"/>
      <c r="G401" s="6" t="s">
        <v>3983</v>
      </c>
    </row>
    <row r="402" customFormat="false" ht="15" hidden="false" customHeight="false" outlineLevel="0" collapsed="false">
      <c r="A402" s="5" t="s">
        <v>321</v>
      </c>
      <c r="B402" s="5" t="s">
        <v>3984</v>
      </c>
      <c r="C402" s="5" t="s">
        <v>3984</v>
      </c>
      <c r="D402" s="6" t="s">
        <v>3985</v>
      </c>
      <c r="E402" s="5" t="s">
        <v>3985</v>
      </c>
      <c r="F402" s="5"/>
      <c r="G402" s="6" t="s">
        <v>3986</v>
      </c>
    </row>
    <row r="403" customFormat="false" ht="15" hidden="false" customHeight="false" outlineLevel="0" collapsed="false">
      <c r="A403" s="5" t="s">
        <v>321</v>
      </c>
      <c r="B403" s="5" t="s">
        <v>3984</v>
      </c>
      <c r="C403" s="5" t="s">
        <v>3984</v>
      </c>
      <c r="D403" s="6" t="s">
        <v>3987</v>
      </c>
      <c r="E403" s="5" t="s">
        <v>3987</v>
      </c>
      <c r="F403" s="5"/>
      <c r="G403" s="6" t="s">
        <v>3988</v>
      </c>
    </row>
    <row r="404" customFormat="false" ht="15" hidden="false" customHeight="false" outlineLevel="0" collapsed="false">
      <c r="A404" s="5" t="s">
        <v>321</v>
      </c>
      <c r="B404" s="5" t="s">
        <v>3989</v>
      </c>
      <c r="C404" s="5" t="s">
        <v>3989</v>
      </c>
      <c r="D404" s="6" t="s">
        <v>3990</v>
      </c>
      <c r="E404" s="5" t="s">
        <v>3990</v>
      </c>
      <c r="F404" s="5"/>
      <c r="G404" s="6" t="s">
        <v>3991</v>
      </c>
    </row>
    <row r="405" customFormat="false" ht="15" hidden="false" customHeight="false" outlineLevel="0" collapsed="false">
      <c r="A405" s="5" t="s">
        <v>321</v>
      </c>
      <c r="B405" s="5" t="s">
        <v>3989</v>
      </c>
      <c r="C405" s="5" t="s">
        <v>3989</v>
      </c>
      <c r="D405" s="6" t="s">
        <v>3930</v>
      </c>
      <c r="E405" s="5" t="s">
        <v>3930</v>
      </c>
      <c r="F405" s="5"/>
      <c r="G405" s="6" t="s">
        <v>3992</v>
      </c>
    </row>
    <row r="406" customFormat="false" ht="15" hidden="false" customHeight="false" outlineLevel="0" collapsed="false">
      <c r="A406" s="5" t="s">
        <v>321</v>
      </c>
      <c r="B406" s="5" t="s">
        <v>3989</v>
      </c>
      <c r="C406" s="5" t="s">
        <v>3989</v>
      </c>
      <c r="D406" s="6" t="s">
        <v>3993</v>
      </c>
      <c r="E406" s="5" t="s">
        <v>3993</v>
      </c>
      <c r="F406" s="5"/>
      <c r="G406" s="6" t="s">
        <v>3994</v>
      </c>
    </row>
    <row r="407" customFormat="false" ht="15" hidden="false" customHeight="false" outlineLevel="0" collapsed="false">
      <c r="A407" s="5" t="s">
        <v>321</v>
      </c>
      <c r="B407" s="5" t="s">
        <v>3989</v>
      </c>
      <c r="C407" s="5" t="s">
        <v>3989</v>
      </c>
      <c r="D407" s="6" t="s">
        <v>3995</v>
      </c>
      <c r="E407" s="5" t="s">
        <v>3995</v>
      </c>
      <c r="F407" s="5"/>
      <c r="G407" s="6" t="s">
        <v>3996</v>
      </c>
    </row>
    <row r="408" customFormat="false" ht="15" hidden="false" customHeight="false" outlineLevel="0" collapsed="false">
      <c r="A408" s="5" t="s">
        <v>321</v>
      </c>
      <c r="B408" s="5" t="s">
        <v>3989</v>
      </c>
      <c r="C408" s="5" t="s">
        <v>3989</v>
      </c>
      <c r="D408" s="6" t="s">
        <v>3997</v>
      </c>
      <c r="E408" s="5" t="s">
        <v>3997</v>
      </c>
      <c r="F408" s="5"/>
      <c r="G408" s="6" t="s">
        <v>3998</v>
      </c>
    </row>
    <row r="409" customFormat="false" ht="15" hidden="false" customHeight="false" outlineLevel="0" collapsed="false">
      <c r="A409" s="5" t="s">
        <v>321</v>
      </c>
      <c r="B409" s="5" t="s">
        <v>3989</v>
      </c>
      <c r="C409" s="5" t="s">
        <v>3989</v>
      </c>
      <c r="D409" s="6" t="s">
        <v>3999</v>
      </c>
      <c r="E409" s="5" t="s">
        <v>3999</v>
      </c>
      <c r="F409" s="5"/>
      <c r="G409" s="6" t="s">
        <v>4000</v>
      </c>
    </row>
    <row r="410" customFormat="false" ht="15" hidden="false" customHeight="false" outlineLevel="0" collapsed="false">
      <c r="A410" s="5" t="s">
        <v>321</v>
      </c>
      <c r="B410" s="5" t="s">
        <v>3989</v>
      </c>
      <c r="C410" s="5" t="s">
        <v>3989</v>
      </c>
      <c r="D410" s="6" t="s">
        <v>4001</v>
      </c>
      <c r="E410" s="5" t="s">
        <v>4001</v>
      </c>
      <c r="F410" s="5"/>
      <c r="G410" s="6" t="s">
        <v>4002</v>
      </c>
    </row>
    <row r="411" customFormat="false" ht="15" hidden="false" customHeight="false" outlineLevel="0" collapsed="false">
      <c r="A411" s="5" t="s">
        <v>321</v>
      </c>
      <c r="B411" s="5" t="s">
        <v>3989</v>
      </c>
      <c r="C411" s="5" t="s">
        <v>3989</v>
      </c>
      <c r="D411" s="6" t="s">
        <v>4003</v>
      </c>
      <c r="E411" s="5" t="s">
        <v>4003</v>
      </c>
      <c r="F411" s="5"/>
      <c r="G411" s="6" t="s">
        <v>4004</v>
      </c>
    </row>
    <row r="412" customFormat="false" ht="15" hidden="false" customHeight="false" outlineLevel="0" collapsed="false">
      <c r="A412" s="5" t="s">
        <v>321</v>
      </c>
      <c r="B412" s="5" t="s">
        <v>3989</v>
      </c>
      <c r="C412" s="5" t="s">
        <v>3989</v>
      </c>
      <c r="D412" s="6" t="s">
        <v>4005</v>
      </c>
      <c r="E412" s="5" t="s">
        <v>4005</v>
      </c>
      <c r="F412" s="5"/>
      <c r="G412" s="6" t="s">
        <v>4006</v>
      </c>
    </row>
    <row r="413" customFormat="false" ht="15" hidden="false" customHeight="false" outlineLevel="0" collapsed="false">
      <c r="A413" s="5" t="s">
        <v>321</v>
      </c>
      <c r="B413" s="5" t="s">
        <v>3989</v>
      </c>
      <c r="C413" s="5" t="s">
        <v>3989</v>
      </c>
      <c r="D413" s="6" t="s">
        <v>4007</v>
      </c>
      <c r="E413" s="5" t="s">
        <v>4007</v>
      </c>
      <c r="F413" s="5"/>
      <c r="G413" s="6" t="s">
        <v>4008</v>
      </c>
    </row>
    <row r="414" customFormat="false" ht="22.35" hidden="false" customHeight="false" outlineLevel="0" collapsed="false">
      <c r="A414" s="5" t="s">
        <v>321</v>
      </c>
      <c r="B414" s="5" t="s">
        <v>3989</v>
      </c>
      <c r="C414" s="5" t="s">
        <v>3989</v>
      </c>
      <c r="D414" s="6" t="s">
        <v>4009</v>
      </c>
      <c r="E414" s="5" t="s">
        <v>4009</v>
      </c>
      <c r="F414" s="5"/>
      <c r="G414" s="6" t="s">
        <v>4010</v>
      </c>
    </row>
    <row r="415" customFormat="false" ht="15" hidden="false" customHeight="false" outlineLevel="0" collapsed="false">
      <c r="A415" s="5" t="s">
        <v>321</v>
      </c>
      <c r="B415" s="5" t="s">
        <v>3989</v>
      </c>
      <c r="C415" s="5" t="s">
        <v>3989</v>
      </c>
      <c r="D415" s="6" t="s">
        <v>4011</v>
      </c>
      <c r="E415" s="5" t="s">
        <v>4011</v>
      </c>
      <c r="F415" s="5"/>
      <c r="G415" s="6" t="s">
        <v>4012</v>
      </c>
    </row>
    <row r="416" customFormat="false" ht="15" hidden="false" customHeight="false" outlineLevel="0" collapsed="false">
      <c r="A416" s="5" t="s">
        <v>321</v>
      </c>
      <c r="B416" s="5" t="s">
        <v>3989</v>
      </c>
      <c r="C416" s="5" t="s">
        <v>3989</v>
      </c>
      <c r="D416" s="6" t="s">
        <v>4013</v>
      </c>
      <c r="E416" s="5" t="s">
        <v>4013</v>
      </c>
      <c r="F416" s="5"/>
      <c r="G416" s="6" t="s">
        <v>4014</v>
      </c>
    </row>
    <row r="417" customFormat="false" ht="22.35" hidden="false" customHeight="false" outlineLevel="0" collapsed="false">
      <c r="A417" s="5" t="s">
        <v>321</v>
      </c>
      <c r="B417" s="5" t="s">
        <v>3989</v>
      </c>
      <c r="C417" s="5" t="s">
        <v>3989</v>
      </c>
      <c r="D417" s="6" t="s">
        <v>4015</v>
      </c>
      <c r="E417" s="5" t="s">
        <v>4015</v>
      </c>
      <c r="F417" s="5"/>
      <c r="G417" s="6" t="s">
        <v>4016</v>
      </c>
    </row>
    <row r="418" customFormat="false" ht="15" hidden="false" customHeight="false" outlineLevel="0" collapsed="false">
      <c r="A418" s="5" t="s">
        <v>321</v>
      </c>
      <c r="B418" s="5" t="s">
        <v>3989</v>
      </c>
      <c r="C418" s="5" t="s">
        <v>3989</v>
      </c>
      <c r="D418" s="6" t="s">
        <v>4017</v>
      </c>
      <c r="E418" s="5" t="s">
        <v>4017</v>
      </c>
      <c r="F418" s="5"/>
      <c r="G418" s="6" t="s">
        <v>4018</v>
      </c>
    </row>
    <row r="419" customFormat="false" ht="15" hidden="false" customHeight="false" outlineLevel="0" collapsed="false">
      <c r="A419" s="5" t="s">
        <v>321</v>
      </c>
      <c r="B419" s="5" t="s">
        <v>4019</v>
      </c>
      <c r="C419" s="5" t="s">
        <v>4019</v>
      </c>
      <c r="D419" s="6" t="s">
        <v>4020</v>
      </c>
      <c r="E419" s="5" t="s">
        <v>4021</v>
      </c>
      <c r="F419" s="5"/>
      <c r="G419" s="6" t="s">
        <v>4022</v>
      </c>
    </row>
    <row r="420" customFormat="false" ht="15" hidden="false" customHeight="false" outlineLevel="0" collapsed="false">
      <c r="A420" s="5" t="s">
        <v>321</v>
      </c>
      <c r="B420" s="5" t="s">
        <v>4019</v>
      </c>
      <c r="C420" s="5" t="s">
        <v>4019</v>
      </c>
      <c r="D420" s="6" t="s">
        <v>4023</v>
      </c>
      <c r="E420" s="5" t="s">
        <v>4024</v>
      </c>
      <c r="F420" s="5"/>
      <c r="G420" s="6" t="s">
        <v>4025</v>
      </c>
    </row>
    <row r="421" customFormat="false" ht="15" hidden="false" customHeight="false" outlineLevel="0" collapsed="false">
      <c r="A421" s="5" t="s">
        <v>321</v>
      </c>
      <c r="B421" s="5" t="s">
        <v>4019</v>
      </c>
      <c r="C421" s="5" t="s">
        <v>4019</v>
      </c>
      <c r="D421" s="6" t="s">
        <v>4026</v>
      </c>
      <c r="E421" s="5" t="s">
        <v>4027</v>
      </c>
      <c r="F421" s="5"/>
      <c r="G421" s="6" t="s">
        <v>4028</v>
      </c>
    </row>
    <row r="422" customFormat="false" ht="22.35" hidden="false" customHeight="false" outlineLevel="0" collapsed="false">
      <c r="A422" s="5" t="s">
        <v>321</v>
      </c>
      <c r="B422" s="5" t="s">
        <v>4019</v>
      </c>
      <c r="C422" s="5" t="s">
        <v>4019</v>
      </c>
      <c r="D422" s="6" t="s">
        <v>4029</v>
      </c>
      <c r="E422" s="5" t="s">
        <v>4030</v>
      </c>
      <c r="F422" s="5"/>
      <c r="G422" s="6" t="s">
        <v>4031</v>
      </c>
    </row>
    <row r="423" customFormat="false" ht="15" hidden="false" customHeight="false" outlineLevel="0" collapsed="false">
      <c r="A423" s="5" t="s">
        <v>321</v>
      </c>
      <c r="B423" s="5" t="s">
        <v>4019</v>
      </c>
      <c r="C423" s="5" t="s">
        <v>4019</v>
      </c>
      <c r="D423" s="6" t="s">
        <v>4032</v>
      </c>
      <c r="E423" s="5" t="s">
        <v>4033</v>
      </c>
      <c r="F423" s="5"/>
      <c r="G423" s="6" t="s">
        <v>4034</v>
      </c>
    </row>
    <row r="424" customFormat="false" ht="15" hidden="false" customHeight="false" outlineLevel="0" collapsed="false">
      <c r="A424" s="5" t="s">
        <v>321</v>
      </c>
      <c r="B424" s="5" t="s">
        <v>4019</v>
      </c>
      <c r="C424" s="5" t="s">
        <v>4019</v>
      </c>
      <c r="D424" s="6" t="s">
        <v>4035</v>
      </c>
      <c r="E424" s="5" t="s">
        <v>4036</v>
      </c>
      <c r="F424" s="5"/>
      <c r="G424" s="6" t="s">
        <v>4037</v>
      </c>
    </row>
    <row r="425" customFormat="false" ht="15" hidden="false" customHeight="false" outlineLevel="0" collapsed="false">
      <c r="A425" s="5" t="s">
        <v>321</v>
      </c>
      <c r="B425" s="5" t="s">
        <v>4019</v>
      </c>
      <c r="C425" s="5" t="s">
        <v>4019</v>
      </c>
      <c r="D425" s="6" t="s">
        <v>4038</v>
      </c>
      <c r="E425" s="5" t="s">
        <v>4039</v>
      </c>
      <c r="F425" s="5"/>
      <c r="G425" s="6" t="s">
        <v>4040</v>
      </c>
    </row>
    <row r="426" customFormat="false" ht="15" hidden="false" customHeight="false" outlineLevel="0" collapsed="false">
      <c r="A426" s="5" t="s">
        <v>321</v>
      </c>
      <c r="B426" s="5" t="s">
        <v>4019</v>
      </c>
      <c r="C426" s="5" t="s">
        <v>4019</v>
      </c>
      <c r="D426" s="6" t="s">
        <v>4041</v>
      </c>
      <c r="E426" s="5" t="s">
        <v>4042</v>
      </c>
      <c r="F426" s="5"/>
      <c r="G426" s="6" t="s">
        <v>4043</v>
      </c>
    </row>
    <row r="427" customFormat="false" ht="15" hidden="false" customHeight="false" outlineLevel="0" collapsed="false">
      <c r="A427" s="5" t="s">
        <v>321</v>
      </c>
      <c r="B427" s="5" t="s">
        <v>4019</v>
      </c>
      <c r="C427" s="5" t="s">
        <v>4019</v>
      </c>
      <c r="D427" s="6" t="s">
        <v>4044</v>
      </c>
      <c r="E427" s="5" t="s">
        <v>4045</v>
      </c>
      <c r="F427" s="5"/>
      <c r="G427" s="6" t="s">
        <v>4046</v>
      </c>
    </row>
    <row r="428" customFormat="false" ht="22.35" hidden="false" customHeight="false" outlineLevel="0" collapsed="false">
      <c r="A428" s="5" t="s">
        <v>321</v>
      </c>
      <c r="B428" s="5" t="s">
        <v>4019</v>
      </c>
      <c r="C428" s="5" t="s">
        <v>4019</v>
      </c>
      <c r="D428" s="6" t="s">
        <v>4047</v>
      </c>
      <c r="E428" s="5" t="s">
        <v>4048</v>
      </c>
      <c r="F428" s="5"/>
      <c r="G428" s="6" t="s">
        <v>4049</v>
      </c>
    </row>
    <row r="429" customFormat="false" ht="22.35" hidden="false" customHeight="false" outlineLevel="0" collapsed="false">
      <c r="A429" s="5" t="s">
        <v>321</v>
      </c>
      <c r="B429" s="5" t="s">
        <v>4019</v>
      </c>
      <c r="C429" s="5" t="s">
        <v>4019</v>
      </c>
      <c r="D429" s="6" t="s">
        <v>4050</v>
      </c>
      <c r="E429" s="5" t="s">
        <v>4051</v>
      </c>
      <c r="F429" s="5"/>
      <c r="G429" s="6" t="s">
        <v>4052</v>
      </c>
    </row>
    <row r="430" customFormat="false" ht="15" hidden="false" customHeight="false" outlineLevel="0" collapsed="false">
      <c r="A430" s="5" t="s">
        <v>345</v>
      </c>
      <c r="B430" s="5" t="s">
        <v>4053</v>
      </c>
      <c r="C430" s="5" t="s">
        <v>4053</v>
      </c>
      <c r="D430" s="6" t="s">
        <v>3595</v>
      </c>
      <c r="E430" s="5" t="s">
        <v>4054</v>
      </c>
      <c r="F430" s="5"/>
      <c r="G430" s="6" t="s">
        <v>4055</v>
      </c>
    </row>
    <row r="431" customFormat="false" ht="15" hidden="false" customHeight="false" outlineLevel="0" collapsed="false">
      <c r="A431" s="5" t="s">
        <v>345</v>
      </c>
      <c r="B431" s="5" t="s">
        <v>4053</v>
      </c>
      <c r="C431" s="5" t="s">
        <v>4053</v>
      </c>
      <c r="D431" s="6" t="s">
        <v>3597</v>
      </c>
      <c r="E431" s="5" t="s">
        <v>4056</v>
      </c>
      <c r="F431" s="5"/>
      <c r="G431" s="6" t="s">
        <v>4057</v>
      </c>
    </row>
    <row r="432" customFormat="false" ht="15" hidden="false" customHeight="false" outlineLevel="0" collapsed="false">
      <c r="A432" s="5" t="s">
        <v>345</v>
      </c>
      <c r="B432" s="5" t="s">
        <v>4053</v>
      </c>
      <c r="C432" s="5" t="s">
        <v>4053</v>
      </c>
      <c r="D432" s="6" t="s">
        <v>4054</v>
      </c>
      <c r="E432" s="5" t="s">
        <v>4058</v>
      </c>
      <c r="F432" s="5"/>
      <c r="G432" s="6" t="s">
        <v>4059</v>
      </c>
    </row>
    <row r="433" customFormat="false" ht="15" hidden="false" customHeight="false" outlineLevel="0" collapsed="false">
      <c r="A433" s="5" t="s">
        <v>345</v>
      </c>
      <c r="B433" s="5" t="s">
        <v>4053</v>
      </c>
      <c r="C433" s="5" t="s">
        <v>4053</v>
      </c>
      <c r="D433" s="6" t="s">
        <v>4056</v>
      </c>
      <c r="E433" s="5" t="s">
        <v>4060</v>
      </c>
      <c r="F433" s="5"/>
      <c r="G433" s="6" t="s">
        <v>4061</v>
      </c>
    </row>
    <row r="434" customFormat="false" ht="15" hidden="false" customHeight="false" outlineLevel="0" collapsed="false">
      <c r="A434" s="5" t="s">
        <v>345</v>
      </c>
      <c r="B434" s="5" t="s">
        <v>4062</v>
      </c>
      <c r="C434" s="5" t="s">
        <v>4062</v>
      </c>
      <c r="D434" s="6" t="s">
        <v>3595</v>
      </c>
      <c r="E434" s="5" t="s">
        <v>4063</v>
      </c>
      <c r="F434" s="5"/>
      <c r="G434" s="6" t="s">
        <v>4064</v>
      </c>
    </row>
    <row r="435" customFormat="false" ht="15" hidden="false" customHeight="false" outlineLevel="0" collapsed="false">
      <c r="A435" s="5" t="s">
        <v>345</v>
      </c>
      <c r="B435" s="5" t="s">
        <v>4062</v>
      </c>
      <c r="C435" s="5" t="s">
        <v>4062</v>
      </c>
      <c r="D435" s="6" t="s">
        <v>3597</v>
      </c>
      <c r="E435" s="5" t="s">
        <v>4065</v>
      </c>
      <c r="F435" s="5"/>
      <c r="G435" s="6" t="s">
        <v>4066</v>
      </c>
    </row>
    <row r="436" customFormat="false" ht="15" hidden="false" customHeight="false" outlineLevel="0" collapsed="false">
      <c r="A436" s="5" t="s">
        <v>345</v>
      </c>
      <c r="B436" s="5" t="s">
        <v>4067</v>
      </c>
      <c r="C436" s="5" t="s">
        <v>4067</v>
      </c>
      <c r="D436" s="6" t="s">
        <v>3595</v>
      </c>
      <c r="E436" s="5" t="s">
        <v>3331</v>
      </c>
      <c r="F436" s="5"/>
      <c r="G436" s="6" t="s">
        <v>4068</v>
      </c>
    </row>
    <row r="437" customFormat="false" ht="15" hidden="false" customHeight="false" outlineLevel="0" collapsed="false">
      <c r="A437" s="5" t="s">
        <v>345</v>
      </c>
      <c r="B437" s="5" t="s">
        <v>4067</v>
      </c>
      <c r="C437" s="5" t="s">
        <v>4067</v>
      </c>
      <c r="D437" s="6" t="s">
        <v>3597</v>
      </c>
      <c r="E437" s="5" t="s">
        <v>3333</v>
      </c>
      <c r="F437" s="5"/>
      <c r="G437" s="6" t="s">
        <v>4069</v>
      </c>
    </row>
    <row r="438" customFormat="false" ht="15" hidden="false" customHeight="false" outlineLevel="0" collapsed="false">
      <c r="A438" s="5" t="s">
        <v>345</v>
      </c>
      <c r="B438" s="5" t="s">
        <v>4070</v>
      </c>
      <c r="C438" s="5" t="s">
        <v>4070</v>
      </c>
      <c r="D438" s="6" t="s">
        <v>4071</v>
      </c>
      <c r="E438" s="5" t="s">
        <v>4072</v>
      </c>
      <c r="F438" s="5"/>
      <c r="G438" s="6" t="s">
        <v>4073</v>
      </c>
    </row>
    <row r="439" customFormat="false" ht="15" hidden="false" customHeight="false" outlineLevel="0" collapsed="false">
      <c r="A439" s="5" t="s">
        <v>345</v>
      </c>
      <c r="B439" s="5" t="s">
        <v>4070</v>
      </c>
      <c r="C439" s="5" t="s">
        <v>4070</v>
      </c>
      <c r="D439" s="6" t="s">
        <v>4074</v>
      </c>
      <c r="E439" s="5" t="s">
        <v>4075</v>
      </c>
      <c r="F439" s="5"/>
      <c r="G439" s="6" t="s">
        <v>4076</v>
      </c>
    </row>
    <row r="440" customFormat="false" ht="15" hidden="false" customHeight="false" outlineLevel="0" collapsed="false">
      <c r="A440" s="5" t="s">
        <v>345</v>
      </c>
      <c r="B440" s="5" t="s">
        <v>4070</v>
      </c>
      <c r="C440" s="5" t="s">
        <v>4070</v>
      </c>
      <c r="D440" s="6" t="s">
        <v>4077</v>
      </c>
      <c r="E440" s="5" t="s">
        <v>4078</v>
      </c>
      <c r="F440" s="5"/>
      <c r="G440" s="6" t="s">
        <v>4079</v>
      </c>
    </row>
    <row r="441" customFormat="false" ht="23.85" hidden="false" customHeight="false" outlineLevel="0" collapsed="false">
      <c r="A441" s="5" t="s">
        <v>345</v>
      </c>
      <c r="B441" s="5" t="s">
        <v>4070</v>
      </c>
      <c r="C441" s="5" t="s">
        <v>4070</v>
      </c>
      <c r="D441" s="6" t="s">
        <v>4080</v>
      </c>
      <c r="E441" s="5" t="s">
        <v>4081</v>
      </c>
      <c r="F441" s="5"/>
      <c r="G441" s="6" t="s">
        <v>4082</v>
      </c>
    </row>
    <row r="442" customFormat="false" ht="15" hidden="false" customHeight="false" outlineLevel="0" collapsed="false">
      <c r="A442" s="5" t="s">
        <v>345</v>
      </c>
      <c r="B442" s="5" t="s">
        <v>4083</v>
      </c>
      <c r="C442" s="5" t="s">
        <v>4083</v>
      </c>
      <c r="D442" s="6" t="s">
        <v>4084</v>
      </c>
      <c r="E442" s="5" t="s">
        <v>4085</v>
      </c>
      <c r="F442" s="5"/>
      <c r="G442" s="6" t="s">
        <v>4086</v>
      </c>
    </row>
    <row r="443" customFormat="false" ht="15" hidden="false" customHeight="false" outlineLevel="0" collapsed="false">
      <c r="A443" s="5" t="s">
        <v>345</v>
      </c>
      <c r="B443" s="5" t="s">
        <v>4083</v>
      </c>
      <c r="C443" s="5" t="s">
        <v>4083</v>
      </c>
      <c r="D443" s="6" t="s">
        <v>4087</v>
      </c>
      <c r="E443" s="5" t="s">
        <v>4088</v>
      </c>
      <c r="F443" s="5"/>
      <c r="G443" s="6" t="s">
        <v>4089</v>
      </c>
    </row>
    <row r="444" customFormat="false" ht="15" hidden="false" customHeight="false" outlineLevel="0" collapsed="false">
      <c r="A444" s="5" t="s">
        <v>345</v>
      </c>
      <c r="B444" s="5" t="s">
        <v>4083</v>
      </c>
      <c r="C444" s="5" t="s">
        <v>4083</v>
      </c>
      <c r="D444" s="6" t="s">
        <v>4090</v>
      </c>
      <c r="E444" s="5" t="s">
        <v>4091</v>
      </c>
      <c r="F444" s="5"/>
      <c r="G444" s="6" t="s">
        <v>4092</v>
      </c>
    </row>
    <row r="445" customFormat="false" ht="15" hidden="false" customHeight="false" outlineLevel="0" collapsed="false">
      <c r="A445" s="5" t="s">
        <v>345</v>
      </c>
      <c r="B445" s="5" t="s">
        <v>4083</v>
      </c>
      <c r="C445" s="5" t="s">
        <v>4083</v>
      </c>
      <c r="D445" s="6" t="s">
        <v>4093</v>
      </c>
      <c r="E445" s="5" t="s">
        <v>4094</v>
      </c>
      <c r="F445" s="5"/>
      <c r="G445" s="6" t="s">
        <v>4095</v>
      </c>
    </row>
    <row r="446" customFormat="false" ht="15" hidden="false" customHeight="false" outlineLevel="0" collapsed="false">
      <c r="A446" s="5" t="s">
        <v>345</v>
      </c>
      <c r="B446" s="5" t="s">
        <v>4083</v>
      </c>
      <c r="C446" s="5" t="s">
        <v>4083</v>
      </c>
      <c r="D446" s="6" t="s">
        <v>4096</v>
      </c>
      <c r="E446" s="5" t="s">
        <v>4097</v>
      </c>
      <c r="F446" s="5"/>
      <c r="G446" s="6" t="s">
        <v>4098</v>
      </c>
    </row>
    <row r="447" customFormat="false" ht="15" hidden="false" customHeight="false" outlineLevel="0" collapsed="false">
      <c r="A447" s="5" t="s">
        <v>345</v>
      </c>
      <c r="B447" s="5" t="s">
        <v>4083</v>
      </c>
      <c r="C447" s="5" t="s">
        <v>4083</v>
      </c>
      <c r="D447" s="6" t="s">
        <v>4099</v>
      </c>
      <c r="E447" s="5" t="s">
        <v>3928</v>
      </c>
      <c r="F447" s="5"/>
      <c r="G447" s="6" t="s">
        <v>4100</v>
      </c>
    </row>
    <row r="448" customFormat="false" ht="15" hidden="false" customHeight="false" outlineLevel="0" collapsed="false">
      <c r="A448" s="5" t="s">
        <v>345</v>
      </c>
      <c r="B448" s="5" t="s">
        <v>4083</v>
      </c>
      <c r="C448" s="5" t="s">
        <v>4083</v>
      </c>
      <c r="D448" s="6" t="s">
        <v>4101</v>
      </c>
      <c r="E448" s="5" t="s">
        <v>4102</v>
      </c>
      <c r="F448" s="5"/>
      <c r="G448" s="6" t="s">
        <v>4103</v>
      </c>
    </row>
    <row r="449" customFormat="false" ht="15" hidden="false" customHeight="false" outlineLevel="0" collapsed="false">
      <c r="A449" s="5" t="s">
        <v>345</v>
      </c>
      <c r="B449" s="5" t="s">
        <v>4083</v>
      </c>
      <c r="C449" s="5" t="s">
        <v>4083</v>
      </c>
      <c r="D449" s="6" t="s">
        <v>4104</v>
      </c>
      <c r="E449" s="5" t="s">
        <v>3671</v>
      </c>
      <c r="F449" s="5"/>
      <c r="G449" s="6" t="s">
        <v>4105</v>
      </c>
    </row>
    <row r="450" customFormat="false" ht="15" hidden="false" customHeight="false" outlineLevel="0" collapsed="false">
      <c r="A450" s="5" t="s">
        <v>345</v>
      </c>
      <c r="B450" s="5" t="s">
        <v>4106</v>
      </c>
      <c r="C450" s="5" t="s">
        <v>4106</v>
      </c>
      <c r="D450" s="6" t="s">
        <v>4107</v>
      </c>
      <c r="E450" s="5" t="s">
        <v>4108</v>
      </c>
      <c r="F450" s="5"/>
      <c r="G450" s="6" t="s">
        <v>4109</v>
      </c>
    </row>
    <row r="451" customFormat="false" ht="15" hidden="false" customHeight="false" outlineLevel="0" collapsed="false">
      <c r="A451" s="5" t="s">
        <v>345</v>
      </c>
      <c r="B451" s="5" t="s">
        <v>4106</v>
      </c>
      <c r="C451" s="5" t="s">
        <v>4106</v>
      </c>
      <c r="D451" s="6" t="s">
        <v>4110</v>
      </c>
      <c r="E451" s="5" t="s">
        <v>4111</v>
      </c>
      <c r="F451" s="5"/>
      <c r="G451" s="6" t="s">
        <v>4112</v>
      </c>
    </row>
    <row r="452" customFormat="false" ht="15" hidden="false" customHeight="false" outlineLevel="0" collapsed="false">
      <c r="A452" s="5" t="s">
        <v>345</v>
      </c>
      <c r="B452" s="5" t="s">
        <v>4106</v>
      </c>
      <c r="C452" s="5" t="s">
        <v>4106</v>
      </c>
      <c r="D452" s="6" t="s">
        <v>4113</v>
      </c>
      <c r="E452" s="5" t="s">
        <v>3568</v>
      </c>
      <c r="F452" s="5"/>
      <c r="G452" s="6" t="s">
        <v>4114</v>
      </c>
    </row>
    <row r="453" customFormat="false" ht="15" hidden="false" customHeight="false" outlineLevel="0" collapsed="false">
      <c r="A453" s="5" t="s">
        <v>345</v>
      </c>
      <c r="B453" s="5" t="s">
        <v>4106</v>
      </c>
      <c r="C453" s="5" t="s">
        <v>4106</v>
      </c>
      <c r="D453" s="6" t="s">
        <v>4115</v>
      </c>
      <c r="E453" s="5" t="s">
        <v>4116</v>
      </c>
      <c r="F453" s="5"/>
      <c r="G453" s="6" t="s">
        <v>4117</v>
      </c>
    </row>
    <row r="454" customFormat="false" ht="15" hidden="false" customHeight="false" outlineLevel="0" collapsed="false">
      <c r="A454" s="5" t="s">
        <v>345</v>
      </c>
      <c r="B454" s="5" t="s">
        <v>4106</v>
      </c>
      <c r="C454" s="5" t="s">
        <v>4106</v>
      </c>
      <c r="D454" s="6" t="s">
        <v>4118</v>
      </c>
      <c r="E454" s="5" t="s">
        <v>4119</v>
      </c>
      <c r="F454" s="5"/>
      <c r="G454" s="6" t="s">
        <v>4120</v>
      </c>
    </row>
    <row r="455" customFormat="false" ht="15" hidden="false" customHeight="false" outlineLevel="0" collapsed="false">
      <c r="A455" s="5" t="s">
        <v>345</v>
      </c>
      <c r="B455" s="5" t="s">
        <v>4106</v>
      </c>
      <c r="C455" s="5" t="s">
        <v>4106</v>
      </c>
      <c r="D455" s="6" t="s">
        <v>4121</v>
      </c>
      <c r="E455" s="5" t="s">
        <v>4122</v>
      </c>
      <c r="F455" s="5"/>
      <c r="G455" s="6" t="s">
        <v>4123</v>
      </c>
    </row>
    <row r="456" customFormat="false" ht="15" hidden="false" customHeight="false" outlineLevel="0" collapsed="false">
      <c r="A456" s="5" t="s">
        <v>360</v>
      </c>
      <c r="B456" s="5" t="s">
        <v>4124</v>
      </c>
      <c r="C456" s="5" t="s">
        <v>4124</v>
      </c>
      <c r="D456" s="6" t="s">
        <v>4125</v>
      </c>
      <c r="E456" s="5" t="s">
        <v>4126</v>
      </c>
      <c r="F456" s="5"/>
      <c r="G456" s="6" t="s">
        <v>4127</v>
      </c>
    </row>
    <row r="457" customFormat="false" ht="15" hidden="false" customHeight="false" outlineLevel="0" collapsed="false">
      <c r="A457" s="5" t="s">
        <v>360</v>
      </c>
      <c r="B457" s="5" t="s">
        <v>4124</v>
      </c>
      <c r="C457" s="5" t="s">
        <v>4124</v>
      </c>
      <c r="D457" s="6" t="s">
        <v>4128</v>
      </c>
      <c r="E457" s="5" t="s">
        <v>4129</v>
      </c>
      <c r="F457" s="5"/>
      <c r="G457" s="6" t="s">
        <v>4130</v>
      </c>
    </row>
    <row r="458" customFormat="false" ht="15" hidden="false" customHeight="false" outlineLevel="0" collapsed="false">
      <c r="A458" s="5" t="s">
        <v>360</v>
      </c>
      <c r="B458" s="5" t="s">
        <v>4131</v>
      </c>
      <c r="C458" s="5" t="s">
        <v>4131</v>
      </c>
      <c r="D458" s="6" t="s">
        <v>4132</v>
      </c>
      <c r="E458" s="5" t="s">
        <v>4133</v>
      </c>
      <c r="F458" s="5"/>
      <c r="G458" s="6" t="s">
        <v>4134</v>
      </c>
    </row>
    <row r="459" customFormat="false" ht="15" hidden="false" customHeight="false" outlineLevel="0" collapsed="false">
      <c r="A459" s="5" t="s">
        <v>360</v>
      </c>
      <c r="B459" s="5" t="s">
        <v>4131</v>
      </c>
      <c r="C459" s="5" t="s">
        <v>4131</v>
      </c>
      <c r="D459" s="6" t="s">
        <v>4135</v>
      </c>
      <c r="E459" s="5" t="s">
        <v>4136</v>
      </c>
      <c r="F459" s="5"/>
      <c r="G459" s="6" t="s">
        <v>4137</v>
      </c>
    </row>
    <row r="460" customFormat="false" ht="15" hidden="false" customHeight="false" outlineLevel="0" collapsed="false">
      <c r="A460" s="5" t="s">
        <v>360</v>
      </c>
      <c r="B460" s="5" t="s">
        <v>4131</v>
      </c>
      <c r="C460" s="5" t="s">
        <v>4131</v>
      </c>
      <c r="D460" s="6" t="s">
        <v>4138</v>
      </c>
      <c r="E460" s="5" t="s">
        <v>4139</v>
      </c>
      <c r="F460" s="5"/>
      <c r="G460" s="6" t="s">
        <v>4140</v>
      </c>
    </row>
    <row r="461" customFormat="false" ht="15" hidden="false" customHeight="false" outlineLevel="0" collapsed="false">
      <c r="A461" s="5" t="s">
        <v>360</v>
      </c>
      <c r="B461" s="5" t="s">
        <v>4131</v>
      </c>
      <c r="C461" s="5" t="s">
        <v>4131</v>
      </c>
      <c r="D461" s="6" t="s">
        <v>4141</v>
      </c>
      <c r="E461" s="5" t="s">
        <v>4142</v>
      </c>
      <c r="F461" s="5"/>
      <c r="G461" s="6" t="s">
        <v>4143</v>
      </c>
    </row>
    <row r="462" customFormat="false" ht="15" hidden="false" customHeight="false" outlineLevel="0" collapsed="false">
      <c r="A462" s="5" t="s">
        <v>360</v>
      </c>
      <c r="B462" s="5" t="s">
        <v>4131</v>
      </c>
      <c r="C462" s="5" t="s">
        <v>4131</v>
      </c>
      <c r="D462" s="6" t="s">
        <v>4144</v>
      </c>
      <c r="E462" s="5" t="s">
        <v>4145</v>
      </c>
      <c r="F462" s="5"/>
      <c r="G462" s="6" t="s">
        <v>4146</v>
      </c>
    </row>
    <row r="463" customFormat="false" ht="15" hidden="false" customHeight="false" outlineLevel="0" collapsed="false">
      <c r="A463" s="5" t="s">
        <v>360</v>
      </c>
      <c r="B463" s="5" t="s">
        <v>4131</v>
      </c>
      <c r="C463" s="5" t="s">
        <v>4131</v>
      </c>
      <c r="D463" s="6" t="s">
        <v>4147</v>
      </c>
      <c r="E463" s="5" t="s">
        <v>4148</v>
      </c>
      <c r="F463" s="5"/>
      <c r="G463" s="6" t="s">
        <v>4149</v>
      </c>
    </row>
    <row r="464" customFormat="false" ht="15" hidden="false" customHeight="false" outlineLevel="0" collapsed="false">
      <c r="A464" s="5" t="s">
        <v>360</v>
      </c>
      <c r="B464" s="5" t="s">
        <v>4131</v>
      </c>
      <c r="C464" s="5" t="s">
        <v>4131</v>
      </c>
      <c r="D464" s="6" t="s">
        <v>4150</v>
      </c>
      <c r="E464" s="5" t="s">
        <v>4151</v>
      </c>
      <c r="F464" s="5"/>
      <c r="G464" s="6" t="s">
        <v>4152</v>
      </c>
    </row>
    <row r="465" customFormat="false" ht="15" hidden="false" customHeight="false" outlineLevel="0" collapsed="false">
      <c r="A465" s="5" t="s">
        <v>360</v>
      </c>
      <c r="B465" s="5" t="s">
        <v>4131</v>
      </c>
      <c r="C465" s="5" t="s">
        <v>4131</v>
      </c>
      <c r="D465" s="6" t="s">
        <v>4153</v>
      </c>
      <c r="E465" s="5" t="s">
        <v>4154</v>
      </c>
      <c r="F465" s="5"/>
      <c r="G465" s="6" t="s">
        <v>4155</v>
      </c>
    </row>
    <row r="466" customFormat="false" ht="15" hidden="false" customHeight="false" outlineLevel="0" collapsed="false">
      <c r="A466" s="5" t="s">
        <v>360</v>
      </c>
      <c r="B466" s="5" t="s">
        <v>4156</v>
      </c>
      <c r="C466" s="5" t="s">
        <v>4156</v>
      </c>
      <c r="D466" s="6" t="s">
        <v>4157</v>
      </c>
      <c r="E466" s="5" t="s">
        <v>3557</v>
      </c>
      <c r="F466" s="5"/>
      <c r="G466" s="6" t="s">
        <v>4158</v>
      </c>
    </row>
    <row r="467" customFormat="false" ht="15" hidden="false" customHeight="false" outlineLevel="0" collapsed="false">
      <c r="A467" s="5" t="s">
        <v>360</v>
      </c>
      <c r="B467" s="5" t="s">
        <v>4156</v>
      </c>
      <c r="C467" s="5" t="s">
        <v>4156</v>
      </c>
      <c r="D467" s="6" t="s">
        <v>74</v>
      </c>
      <c r="E467" s="5" t="s">
        <v>3560</v>
      </c>
      <c r="F467" s="5"/>
      <c r="G467" s="6" t="s">
        <v>4159</v>
      </c>
    </row>
    <row r="468" customFormat="false" ht="15" hidden="false" customHeight="false" outlineLevel="0" collapsed="false">
      <c r="A468" s="5" t="s">
        <v>360</v>
      </c>
      <c r="B468" s="5" t="s">
        <v>4156</v>
      </c>
      <c r="C468" s="5" t="s">
        <v>4156</v>
      </c>
      <c r="D468" s="6" t="s">
        <v>37</v>
      </c>
      <c r="E468" s="5" t="s">
        <v>3563</v>
      </c>
      <c r="F468" s="5"/>
      <c r="G468" s="6" t="s">
        <v>4160</v>
      </c>
    </row>
    <row r="469" customFormat="false" ht="15" hidden="false" customHeight="false" outlineLevel="0" collapsed="false">
      <c r="A469" s="5" t="s">
        <v>360</v>
      </c>
      <c r="B469" s="5" t="s">
        <v>4156</v>
      </c>
      <c r="C469" s="5" t="s">
        <v>4156</v>
      </c>
      <c r="D469" s="6" t="s">
        <v>4161</v>
      </c>
      <c r="E469" s="5" t="s">
        <v>4162</v>
      </c>
      <c r="F469" s="5"/>
      <c r="G469" s="6" t="s">
        <v>4163</v>
      </c>
    </row>
    <row r="470" customFormat="false" ht="15" hidden="false" customHeight="false" outlineLevel="0" collapsed="false">
      <c r="A470" s="5" t="s">
        <v>360</v>
      </c>
      <c r="B470" s="5" t="s">
        <v>4164</v>
      </c>
      <c r="C470" s="5" t="s">
        <v>4164</v>
      </c>
      <c r="D470" s="6" t="s">
        <v>4165</v>
      </c>
      <c r="E470" s="5" t="s">
        <v>4166</v>
      </c>
      <c r="F470" s="5"/>
      <c r="G470" s="6" t="s">
        <v>4167</v>
      </c>
    </row>
    <row r="471" customFormat="false" ht="15" hidden="false" customHeight="false" outlineLevel="0" collapsed="false">
      <c r="A471" s="5" t="s">
        <v>360</v>
      </c>
      <c r="B471" s="5" t="s">
        <v>4164</v>
      </c>
      <c r="C471" s="5" t="s">
        <v>4164</v>
      </c>
      <c r="D471" s="6" t="s">
        <v>4168</v>
      </c>
      <c r="E471" s="5" t="s">
        <v>4169</v>
      </c>
      <c r="F471" s="5"/>
      <c r="G471" s="6" t="s">
        <v>4170</v>
      </c>
    </row>
    <row r="472" customFormat="false" ht="15" hidden="false" customHeight="false" outlineLevel="0" collapsed="false">
      <c r="A472" s="5" t="s">
        <v>360</v>
      </c>
      <c r="B472" s="5" t="s">
        <v>4164</v>
      </c>
      <c r="C472" s="5" t="s">
        <v>4164</v>
      </c>
      <c r="D472" s="6" t="s">
        <v>4171</v>
      </c>
      <c r="E472" s="5" t="s">
        <v>4172</v>
      </c>
      <c r="F472" s="5"/>
      <c r="G472" s="6" t="s">
        <v>4173</v>
      </c>
    </row>
    <row r="473" customFormat="false" ht="15" hidden="false" customHeight="false" outlineLevel="0" collapsed="false">
      <c r="A473" s="5" t="s">
        <v>360</v>
      </c>
      <c r="B473" s="5" t="s">
        <v>4164</v>
      </c>
      <c r="C473" s="5" t="s">
        <v>4164</v>
      </c>
      <c r="D473" s="6" t="s">
        <v>4174</v>
      </c>
      <c r="E473" s="5" t="s">
        <v>4175</v>
      </c>
      <c r="F473" s="5"/>
      <c r="G473" s="6" t="s">
        <v>4176</v>
      </c>
    </row>
  </sheetData>
  <autoFilter ref="A1:G4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8" min="7" style="0" width="60"/>
  </cols>
  <sheetData>
    <row r="1" customFormat="false" ht="15" hidden="false" customHeight="false" outlineLevel="0" collapsed="false">
      <c r="A1" s="4" t="s">
        <v>23</v>
      </c>
      <c r="B1" s="4" t="s">
        <v>4177</v>
      </c>
      <c r="C1" s="4" t="s">
        <v>4178</v>
      </c>
      <c r="D1" s="4" t="s">
        <v>4179</v>
      </c>
      <c r="E1" s="4" t="s">
        <v>415</v>
      </c>
      <c r="F1" s="4" t="s">
        <v>4180</v>
      </c>
      <c r="G1" s="4" t="s">
        <v>4181</v>
      </c>
      <c r="H1" s="4" t="s">
        <v>4182</v>
      </c>
    </row>
    <row r="2" customFormat="false" ht="23.85" hidden="false" customHeight="false" outlineLevel="0" collapsed="false">
      <c r="A2" s="9" t="s">
        <v>4183</v>
      </c>
      <c r="B2" s="9" t="s">
        <v>4184</v>
      </c>
      <c r="C2" s="9" t="s">
        <v>4185</v>
      </c>
      <c r="D2" s="10" t="s">
        <v>4186</v>
      </c>
      <c r="E2" s="9" t="s">
        <v>4187</v>
      </c>
      <c r="F2" s="9" t="s">
        <v>4188</v>
      </c>
      <c r="G2" s="9" t="s">
        <v>4189</v>
      </c>
      <c r="H2" s="9"/>
    </row>
    <row r="3" customFormat="false" ht="23.85" hidden="false" customHeight="false" outlineLevel="0" collapsed="false">
      <c r="A3" s="5" t="s">
        <v>4183</v>
      </c>
      <c r="B3" s="5" t="s">
        <v>4184</v>
      </c>
      <c r="C3" s="5" t="s">
        <v>4190</v>
      </c>
      <c r="D3" s="6" t="s">
        <v>4191</v>
      </c>
      <c r="E3" s="5" t="s">
        <v>437</v>
      </c>
      <c r="F3" s="5" t="s">
        <v>4192</v>
      </c>
      <c r="G3" s="5"/>
      <c r="H3" s="5"/>
    </row>
    <row r="4" customFormat="false" ht="23.85" hidden="false" customHeight="false" outlineLevel="0" collapsed="false">
      <c r="A4" s="9" t="s">
        <v>4183</v>
      </c>
      <c r="B4" s="9" t="s">
        <v>4184</v>
      </c>
      <c r="C4" s="9" t="s">
        <v>4193</v>
      </c>
      <c r="D4" s="10" t="s">
        <v>4194</v>
      </c>
      <c r="E4" s="9" t="s">
        <v>4187</v>
      </c>
      <c r="F4" s="9" t="s">
        <v>4188</v>
      </c>
      <c r="G4" s="9" t="s">
        <v>4195</v>
      </c>
      <c r="H4" s="9"/>
    </row>
    <row r="5" customFormat="false" ht="23.85" hidden="false" customHeight="false" outlineLevel="0" collapsed="false">
      <c r="A5" s="13" t="s">
        <v>4183</v>
      </c>
      <c r="B5" s="13" t="s">
        <v>4196</v>
      </c>
      <c r="C5" s="13" t="s">
        <v>4197</v>
      </c>
      <c r="D5" s="14" t="s">
        <v>750</v>
      </c>
      <c r="E5" s="13" t="s">
        <v>509</v>
      </c>
      <c r="F5" s="13" t="s">
        <v>4198</v>
      </c>
      <c r="G5" s="13"/>
      <c r="H5" s="13"/>
    </row>
    <row r="6" customFormat="false" ht="23.85" hidden="false" customHeight="false" outlineLevel="0" collapsed="false">
      <c r="A6" s="13" t="s">
        <v>4183</v>
      </c>
      <c r="B6" s="13" t="s">
        <v>4196</v>
      </c>
      <c r="C6" s="13" t="s">
        <v>4199</v>
      </c>
      <c r="D6" s="14" t="s">
        <v>757</v>
      </c>
      <c r="E6" s="13" t="s">
        <v>509</v>
      </c>
      <c r="F6" s="13" t="s">
        <v>4198</v>
      </c>
      <c r="G6" s="13"/>
      <c r="H6" s="13"/>
    </row>
    <row r="7" customFormat="false" ht="23.85" hidden="false" customHeight="false" outlineLevel="0" collapsed="false">
      <c r="A7" s="13" t="s">
        <v>4183</v>
      </c>
      <c r="B7" s="13" t="s">
        <v>4196</v>
      </c>
      <c r="C7" s="13" t="s">
        <v>4200</v>
      </c>
      <c r="D7" s="14" t="s">
        <v>762</v>
      </c>
      <c r="E7" s="13" t="s">
        <v>509</v>
      </c>
      <c r="F7" s="13" t="s">
        <v>4198</v>
      </c>
      <c r="G7" s="13"/>
      <c r="H7" s="13"/>
    </row>
    <row r="8" customFormat="false" ht="23.85" hidden="false" customHeight="false" outlineLevel="0" collapsed="false">
      <c r="A8" s="13" t="s">
        <v>4183</v>
      </c>
      <c r="B8" s="13" t="s">
        <v>4201</v>
      </c>
      <c r="C8" s="13" t="s">
        <v>4202</v>
      </c>
      <c r="D8" s="14" t="s">
        <v>1317</v>
      </c>
      <c r="E8" s="13" t="s">
        <v>509</v>
      </c>
      <c r="F8" s="13" t="s">
        <v>4198</v>
      </c>
      <c r="G8" s="13"/>
      <c r="H8" s="13"/>
    </row>
    <row r="9" customFormat="false" ht="23.85" hidden="false" customHeight="false" outlineLevel="0" collapsed="false">
      <c r="A9" s="13" t="s">
        <v>4183</v>
      </c>
      <c r="B9" s="13" t="s">
        <v>4201</v>
      </c>
      <c r="C9" s="13" t="s">
        <v>4203</v>
      </c>
      <c r="D9" s="14" t="s">
        <v>1658</v>
      </c>
      <c r="E9" s="13" t="s">
        <v>566</v>
      </c>
      <c r="F9" s="13" t="s">
        <v>4198</v>
      </c>
      <c r="G9" s="13"/>
      <c r="H9" s="13" t="s">
        <v>1660</v>
      </c>
    </row>
    <row r="10" customFormat="false" ht="23.85" hidden="false" customHeight="false" outlineLevel="0" collapsed="false">
      <c r="A10" s="13" t="s">
        <v>4183</v>
      </c>
      <c r="B10" s="13" t="s">
        <v>4201</v>
      </c>
      <c r="C10" s="13" t="s">
        <v>4204</v>
      </c>
      <c r="D10" s="14" t="s">
        <v>1651</v>
      </c>
      <c r="E10" s="13" t="s">
        <v>566</v>
      </c>
      <c r="F10" s="13" t="s">
        <v>4198</v>
      </c>
      <c r="G10" s="13"/>
      <c r="H10" s="13" t="s">
        <v>1654</v>
      </c>
    </row>
    <row r="11" customFormat="false" ht="23.85" hidden="false" customHeight="false" outlineLevel="0" collapsed="false">
      <c r="A11" s="13" t="s">
        <v>4183</v>
      </c>
      <c r="B11" s="13" t="s">
        <v>4201</v>
      </c>
      <c r="C11" s="13" t="s">
        <v>4205</v>
      </c>
      <c r="D11" s="14" t="s">
        <v>786</v>
      </c>
      <c r="E11" s="13" t="s">
        <v>437</v>
      </c>
      <c r="F11" s="13" t="s">
        <v>4198</v>
      </c>
      <c r="G11" s="13"/>
      <c r="H11" s="13"/>
    </row>
    <row r="12" customFormat="false" ht="23.85" hidden="false" customHeight="false" outlineLevel="0" collapsed="false">
      <c r="A12" s="13" t="s">
        <v>4183</v>
      </c>
      <c r="B12" s="13" t="s">
        <v>4206</v>
      </c>
      <c r="C12" s="13" t="s">
        <v>4207</v>
      </c>
      <c r="D12" s="14" t="s">
        <v>839</v>
      </c>
      <c r="E12" s="13" t="s">
        <v>437</v>
      </c>
      <c r="F12" s="13" t="s">
        <v>4208</v>
      </c>
      <c r="G12" s="13"/>
      <c r="H12" s="13"/>
    </row>
    <row r="13" customFormat="false" ht="23.85" hidden="false" customHeight="false" outlineLevel="0" collapsed="false">
      <c r="A13" s="13" t="s">
        <v>4183</v>
      </c>
      <c r="B13" s="13" t="s">
        <v>4206</v>
      </c>
      <c r="C13" s="13" t="s">
        <v>4209</v>
      </c>
      <c r="D13" s="14" t="s">
        <v>799</v>
      </c>
      <c r="E13" s="13" t="s">
        <v>437</v>
      </c>
      <c r="F13" s="13" t="s">
        <v>4198</v>
      </c>
      <c r="G13" s="13"/>
      <c r="H13" s="13"/>
    </row>
    <row r="14" customFormat="false" ht="23.85" hidden="false" customHeight="false" outlineLevel="0" collapsed="false">
      <c r="A14" s="13" t="s">
        <v>4183</v>
      </c>
      <c r="B14" s="13" t="s">
        <v>4206</v>
      </c>
      <c r="C14" s="13" t="s">
        <v>4210</v>
      </c>
      <c r="D14" s="14" t="s">
        <v>792</v>
      </c>
      <c r="E14" s="13" t="s">
        <v>437</v>
      </c>
      <c r="F14" s="13" t="s">
        <v>4208</v>
      </c>
      <c r="G14" s="13"/>
      <c r="H14" s="13"/>
    </row>
    <row r="15" customFormat="false" ht="23.85" hidden="false" customHeight="false" outlineLevel="0" collapsed="false">
      <c r="A15" s="13" t="s">
        <v>4183</v>
      </c>
      <c r="B15" s="13" t="s">
        <v>4206</v>
      </c>
      <c r="C15" s="13" t="s">
        <v>4211</v>
      </c>
      <c r="D15" s="14" t="s">
        <v>767</v>
      </c>
      <c r="E15" s="13" t="s">
        <v>509</v>
      </c>
      <c r="F15" s="13" t="s">
        <v>4198</v>
      </c>
      <c r="G15" s="13"/>
      <c r="H15" s="13"/>
    </row>
    <row r="16" customFormat="false" ht="23.85" hidden="false" customHeight="false" outlineLevel="0" collapsed="false">
      <c r="A16" s="13" t="s">
        <v>4183</v>
      </c>
      <c r="B16" s="13" t="s">
        <v>4212</v>
      </c>
      <c r="C16" s="13" t="s">
        <v>4209</v>
      </c>
      <c r="D16" s="14" t="s">
        <v>799</v>
      </c>
      <c r="E16" s="13" t="s">
        <v>437</v>
      </c>
      <c r="F16" s="13" t="s">
        <v>4198</v>
      </c>
      <c r="G16" s="13"/>
      <c r="H16" s="13"/>
    </row>
    <row r="17" customFormat="false" ht="23.85" hidden="false" customHeight="false" outlineLevel="0" collapsed="false">
      <c r="A17" s="13" t="s">
        <v>4183</v>
      </c>
      <c r="B17" s="13" t="s">
        <v>4212</v>
      </c>
      <c r="C17" s="13" t="s">
        <v>4210</v>
      </c>
      <c r="D17" s="14" t="s">
        <v>792</v>
      </c>
      <c r="E17" s="13" t="s">
        <v>437</v>
      </c>
      <c r="F17" s="13" t="s">
        <v>4208</v>
      </c>
      <c r="G17" s="13"/>
      <c r="H17" s="13"/>
    </row>
    <row r="18" customFormat="false" ht="23.85" hidden="false" customHeight="false" outlineLevel="0" collapsed="false">
      <c r="A18" s="13" t="s">
        <v>4183</v>
      </c>
      <c r="B18" s="13" t="s">
        <v>4212</v>
      </c>
      <c r="C18" s="13" t="s">
        <v>4213</v>
      </c>
      <c r="D18" s="14" t="s">
        <v>815</v>
      </c>
      <c r="E18" s="13" t="s">
        <v>622</v>
      </c>
      <c r="F18" s="13" t="s">
        <v>4198</v>
      </c>
      <c r="G18" s="13"/>
      <c r="H18" s="13"/>
    </row>
    <row r="19" customFormat="false" ht="23.85" hidden="false" customHeight="false" outlineLevel="0" collapsed="false">
      <c r="A19" s="13" t="s">
        <v>4183</v>
      </c>
      <c r="B19" s="13" t="s">
        <v>4212</v>
      </c>
      <c r="C19" s="13" t="s">
        <v>4214</v>
      </c>
      <c r="D19" s="14" t="s">
        <v>236</v>
      </c>
      <c r="E19" s="13" t="s">
        <v>428</v>
      </c>
      <c r="F19" s="13" t="s">
        <v>4198</v>
      </c>
      <c r="G19" s="13"/>
      <c r="H19" s="13"/>
    </row>
    <row r="20" customFormat="false" ht="23.85" hidden="false" customHeight="false" outlineLevel="0" collapsed="false">
      <c r="A20" s="9" t="s">
        <v>4183</v>
      </c>
      <c r="B20" s="9" t="s">
        <v>4212</v>
      </c>
      <c r="C20" s="9" t="s">
        <v>4215</v>
      </c>
      <c r="D20" s="10" t="s">
        <v>4216</v>
      </c>
      <c r="E20" s="9" t="s">
        <v>622</v>
      </c>
      <c r="F20" s="9" t="s">
        <v>4188</v>
      </c>
      <c r="G20" s="9" t="s">
        <v>4217</v>
      </c>
      <c r="H20" s="9"/>
    </row>
    <row r="21" customFormat="false" ht="23.85" hidden="false" customHeight="false" outlineLevel="0" collapsed="false">
      <c r="A21" s="13" t="s">
        <v>4183</v>
      </c>
      <c r="B21" s="13" t="s">
        <v>4212</v>
      </c>
      <c r="C21" s="13" t="s">
        <v>4211</v>
      </c>
      <c r="D21" s="14" t="s">
        <v>767</v>
      </c>
      <c r="E21" s="13" t="s">
        <v>509</v>
      </c>
      <c r="F21" s="13" t="s">
        <v>4198</v>
      </c>
      <c r="G21" s="13"/>
      <c r="H21" s="13"/>
    </row>
    <row r="22" customFormat="false" ht="214.15" hidden="false" customHeight="false" outlineLevel="0" collapsed="false">
      <c r="A22" s="13" t="s">
        <v>4183</v>
      </c>
      <c r="B22" s="13" t="s">
        <v>4212</v>
      </c>
      <c r="C22" s="13" t="s">
        <v>4218</v>
      </c>
      <c r="D22" s="14" t="s">
        <v>165</v>
      </c>
      <c r="E22" s="13" t="s">
        <v>566</v>
      </c>
      <c r="F22" s="13" t="s">
        <v>4198</v>
      </c>
      <c r="G22" s="13"/>
      <c r="H22" s="13" t="s">
        <v>4219</v>
      </c>
    </row>
  </sheetData>
  <autoFilter ref="A1:H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8" min="7" style="0" width="60"/>
  </cols>
  <sheetData>
    <row r="1" customFormat="false" ht="15" hidden="false" customHeight="false" outlineLevel="0" collapsed="false">
      <c r="A1" s="4" t="s">
        <v>23</v>
      </c>
      <c r="B1" s="4" t="s">
        <v>4177</v>
      </c>
      <c r="C1" s="4" t="s">
        <v>4178</v>
      </c>
      <c r="D1" s="4" t="s">
        <v>4179</v>
      </c>
      <c r="E1" s="4" t="s">
        <v>415</v>
      </c>
      <c r="F1" s="4" t="s">
        <v>4180</v>
      </c>
      <c r="G1" s="4" t="s">
        <v>4181</v>
      </c>
      <c r="H1" s="4" t="s">
        <v>4182</v>
      </c>
    </row>
    <row r="2" customFormat="false" ht="15" hidden="false" customHeight="false" outlineLevel="0" collapsed="false">
      <c r="A2" s="13" t="s">
        <v>321</v>
      </c>
      <c r="B2" s="13" t="s">
        <v>4220</v>
      </c>
      <c r="C2" s="13" t="s">
        <v>4185</v>
      </c>
      <c r="D2" s="14" t="s">
        <v>376</v>
      </c>
      <c r="E2" s="13" t="s">
        <v>437</v>
      </c>
      <c r="F2" s="13" t="s">
        <v>4198</v>
      </c>
      <c r="G2" s="13"/>
      <c r="H2" s="13"/>
    </row>
    <row r="3" customFormat="false" ht="15" hidden="false" customHeight="false" outlineLevel="0" collapsed="false">
      <c r="A3" s="5" t="s">
        <v>321</v>
      </c>
      <c r="B3" s="5" t="s">
        <v>4220</v>
      </c>
      <c r="C3" s="5" t="s">
        <v>4190</v>
      </c>
      <c r="D3" s="6" t="s">
        <v>4191</v>
      </c>
      <c r="E3" s="5" t="s">
        <v>437</v>
      </c>
      <c r="F3" s="5" t="s">
        <v>4192</v>
      </c>
      <c r="G3" s="5"/>
      <c r="H3" s="5"/>
    </row>
    <row r="4" customFormat="false" ht="15" hidden="false" customHeight="false" outlineLevel="0" collapsed="false">
      <c r="A4" s="13" t="s">
        <v>321</v>
      </c>
      <c r="B4" s="13" t="s">
        <v>4185</v>
      </c>
      <c r="C4" s="13" t="s">
        <v>4221</v>
      </c>
      <c r="D4" s="14" t="s">
        <v>376</v>
      </c>
      <c r="E4" s="13" t="s">
        <v>437</v>
      </c>
      <c r="F4" s="13" t="s">
        <v>4198</v>
      </c>
      <c r="G4" s="13"/>
      <c r="H4" s="13"/>
    </row>
    <row r="5" customFormat="false" ht="15" hidden="false" customHeight="false" outlineLevel="0" collapsed="false">
      <c r="A5" s="13" t="s">
        <v>321</v>
      </c>
      <c r="B5" s="13" t="s">
        <v>4185</v>
      </c>
      <c r="C5" s="13" t="s">
        <v>4222</v>
      </c>
      <c r="D5" s="14" t="s">
        <v>3923</v>
      </c>
      <c r="E5" s="13" t="s">
        <v>566</v>
      </c>
      <c r="F5" s="13" t="s">
        <v>4198</v>
      </c>
      <c r="G5" s="13"/>
      <c r="H5" s="13" t="s">
        <v>4223</v>
      </c>
    </row>
    <row r="6" customFormat="false" ht="15" hidden="false" customHeight="false" outlineLevel="0" collapsed="false">
      <c r="A6" s="13" t="s">
        <v>321</v>
      </c>
      <c r="B6" s="13" t="s">
        <v>4185</v>
      </c>
      <c r="C6" s="13" t="s">
        <v>4224</v>
      </c>
      <c r="D6" s="14" t="s">
        <v>3932</v>
      </c>
      <c r="E6" s="13" t="s">
        <v>566</v>
      </c>
      <c r="F6" s="13" t="s">
        <v>4198</v>
      </c>
      <c r="G6" s="13"/>
      <c r="H6" s="13" t="s">
        <v>4225</v>
      </c>
    </row>
    <row r="7" customFormat="false" ht="46.25" hidden="false" customHeight="false" outlineLevel="0" collapsed="false">
      <c r="A7" s="13" t="s">
        <v>321</v>
      </c>
      <c r="B7" s="13" t="s">
        <v>4185</v>
      </c>
      <c r="C7" s="13" t="s">
        <v>4226</v>
      </c>
      <c r="D7" s="14" t="s">
        <v>3941</v>
      </c>
      <c r="E7" s="13" t="s">
        <v>566</v>
      </c>
      <c r="F7" s="13" t="s">
        <v>4198</v>
      </c>
      <c r="G7" s="13"/>
      <c r="H7" s="13" t="s">
        <v>4227</v>
      </c>
    </row>
    <row r="8" customFormat="false" ht="15" hidden="false" customHeight="false" outlineLevel="0" collapsed="false">
      <c r="A8" s="5" t="s">
        <v>321</v>
      </c>
      <c r="B8" s="5" t="s">
        <v>4185</v>
      </c>
      <c r="C8" s="5" t="s">
        <v>4228</v>
      </c>
      <c r="D8" s="6" t="s">
        <v>4229</v>
      </c>
      <c r="E8" s="5" t="s">
        <v>4230</v>
      </c>
      <c r="F8" s="5" t="s">
        <v>4192</v>
      </c>
      <c r="G8" s="5"/>
      <c r="H8" s="5"/>
    </row>
    <row r="9" customFormat="false" ht="214.15" hidden="false" customHeight="false" outlineLevel="0" collapsed="false">
      <c r="A9" s="13" t="s">
        <v>321</v>
      </c>
      <c r="B9" s="13" t="s">
        <v>4185</v>
      </c>
      <c r="C9" s="13" t="s">
        <v>4218</v>
      </c>
      <c r="D9" s="14" t="s">
        <v>165</v>
      </c>
      <c r="E9" s="13" t="s">
        <v>566</v>
      </c>
      <c r="F9" s="13" t="s">
        <v>4198</v>
      </c>
      <c r="G9" s="13"/>
      <c r="H9" s="13" t="s">
        <v>4219</v>
      </c>
    </row>
    <row r="10" customFormat="false" ht="15" hidden="false" customHeight="false" outlineLevel="0" collapsed="false">
      <c r="A10" s="11" t="s">
        <v>321</v>
      </c>
      <c r="B10" s="11" t="s">
        <v>4185</v>
      </c>
      <c r="C10" s="11" t="s">
        <v>4231</v>
      </c>
      <c r="D10" s="12" t="s">
        <v>4232</v>
      </c>
      <c r="E10" s="11" t="s">
        <v>4233</v>
      </c>
      <c r="F10" s="11" t="s">
        <v>4234</v>
      </c>
      <c r="G10" s="11"/>
      <c r="H10" s="11"/>
    </row>
    <row r="11" customFormat="false" ht="15" hidden="false" customHeight="false" outlineLevel="0" collapsed="false">
      <c r="A11" s="11" t="s">
        <v>321</v>
      </c>
      <c r="B11" s="11" t="s">
        <v>4185</v>
      </c>
      <c r="C11" s="11" t="s">
        <v>4235</v>
      </c>
      <c r="D11" s="12" t="s">
        <v>4232</v>
      </c>
      <c r="E11" s="11" t="s">
        <v>4233</v>
      </c>
      <c r="F11" s="11" t="s">
        <v>4234</v>
      </c>
      <c r="G11" s="11"/>
      <c r="H11" s="11"/>
    </row>
    <row r="12" customFormat="false" ht="15" hidden="false" customHeight="false" outlineLevel="0" collapsed="false">
      <c r="A12" s="13" t="s">
        <v>321</v>
      </c>
      <c r="B12" s="13" t="s">
        <v>4185</v>
      </c>
      <c r="C12" s="13" t="s">
        <v>4236</v>
      </c>
      <c r="D12" s="14" t="s">
        <v>3984</v>
      </c>
      <c r="E12" s="13" t="s">
        <v>566</v>
      </c>
      <c r="F12" s="13" t="s">
        <v>4198</v>
      </c>
      <c r="G12" s="13"/>
      <c r="H12" s="13" t="s">
        <v>4237</v>
      </c>
    </row>
    <row r="13" customFormat="false" ht="15" hidden="false" customHeight="false" outlineLevel="0" collapsed="false">
      <c r="A13" s="13" t="s">
        <v>321</v>
      </c>
      <c r="B13" s="13" t="s">
        <v>4185</v>
      </c>
      <c r="C13" s="13" t="s">
        <v>4238</v>
      </c>
      <c r="D13" s="14" t="s">
        <v>3969</v>
      </c>
      <c r="E13" s="13" t="s">
        <v>566</v>
      </c>
      <c r="F13" s="13" t="s">
        <v>4198</v>
      </c>
      <c r="G13" s="13"/>
      <c r="H13" s="13" t="s">
        <v>4239</v>
      </c>
    </row>
    <row r="14" customFormat="false" ht="15" hidden="false" customHeight="false" outlineLevel="0" collapsed="false">
      <c r="A14" s="9" t="s">
        <v>321</v>
      </c>
      <c r="B14" s="9" t="s">
        <v>4185</v>
      </c>
      <c r="C14" s="9" t="s">
        <v>4240</v>
      </c>
      <c r="D14" s="10" t="s">
        <v>4241</v>
      </c>
      <c r="E14" s="9" t="s">
        <v>437</v>
      </c>
      <c r="F14" s="9" t="s">
        <v>4188</v>
      </c>
      <c r="G14" s="9" t="s">
        <v>4242</v>
      </c>
      <c r="H14" s="9"/>
    </row>
    <row r="15" customFormat="false" ht="23.85" hidden="false" customHeight="false" outlineLevel="0" collapsed="false">
      <c r="A15" s="9" t="s">
        <v>321</v>
      </c>
      <c r="B15" s="9" t="s">
        <v>4185</v>
      </c>
      <c r="C15" s="9" t="s">
        <v>4243</v>
      </c>
      <c r="D15" s="10" t="s">
        <v>4244</v>
      </c>
      <c r="E15" s="9" t="s">
        <v>566</v>
      </c>
      <c r="F15" s="9" t="s">
        <v>4188</v>
      </c>
      <c r="G15" s="9" t="s">
        <v>4245</v>
      </c>
      <c r="H15" s="9"/>
    </row>
    <row r="16" customFormat="false" ht="15" hidden="false" customHeight="false" outlineLevel="0" collapsed="false">
      <c r="A16" s="5" t="s">
        <v>321</v>
      </c>
      <c r="B16" s="5" t="s">
        <v>4185</v>
      </c>
      <c r="C16" s="5" t="s">
        <v>4246</v>
      </c>
      <c r="D16" s="6" t="s">
        <v>4247</v>
      </c>
      <c r="E16" s="5" t="s">
        <v>509</v>
      </c>
      <c r="F16" s="5" t="s">
        <v>4192</v>
      </c>
      <c r="G16" s="5"/>
      <c r="H16" s="5"/>
    </row>
    <row r="17" customFormat="false" ht="15" hidden="false" customHeight="false" outlineLevel="0" collapsed="false">
      <c r="A17" s="5" t="s">
        <v>321</v>
      </c>
      <c r="B17" s="5" t="s">
        <v>4185</v>
      </c>
      <c r="C17" s="5" t="s">
        <v>4248</v>
      </c>
      <c r="D17" s="6" t="s">
        <v>4249</v>
      </c>
      <c r="E17" s="5" t="s">
        <v>437</v>
      </c>
      <c r="F17" s="5" t="s">
        <v>4192</v>
      </c>
      <c r="G17" s="5"/>
      <c r="H17" s="5"/>
    </row>
    <row r="18" customFormat="false" ht="15" hidden="false" customHeight="false" outlineLevel="0" collapsed="false">
      <c r="A18" s="5" t="s">
        <v>321</v>
      </c>
      <c r="B18" s="5" t="s">
        <v>4185</v>
      </c>
      <c r="C18" s="5" t="s">
        <v>4250</v>
      </c>
      <c r="D18" s="6" t="s">
        <v>4251</v>
      </c>
      <c r="E18" s="5" t="s">
        <v>437</v>
      </c>
      <c r="F18" s="5" t="s">
        <v>4192</v>
      </c>
      <c r="G18" s="5"/>
      <c r="H18" s="5"/>
    </row>
    <row r="19" customFormat="false" ht="35.05" hidden="false" customHeight="false" outlineLevel="0" collapsed="false">
      <c r="A19" s="13" t="s">
        <v>321</v>
      </c>
      <c r="B19" s="13" t="s">
        <v>4185</v>
      </c>
      <c r="C19" s="13" t="s">
        <v>4252</v>
      </c>
      <c r="D19" s="14" t="s">
        <v>3989</v>
      </c>
      <c r="E19" s="13" t="s">
        <v>566</v>
      </c>
      <c r="F19" s="13" t="s">
        <v>4198</v>
      </c>
      <c r="G19" s="13"/>
      <c r="H19" s="13" t="s">
        <v>4253</v>
      </c>
    </row>
    <row r="20" customFormat="false" ht="124.6" hidden="false" customHeight="false" outlineLevel="0" collapsed="false">
      <c r="A20" s="13" t="s">
        <v>321</v>
      </c>
      <c r="B20" s="13" t="s">
        <v>4185</v>
      </c>
      <c r="C20" s="13" t="s">
        <v>4254</v>
      </c>
      <c r="D20" s="14" t="s">
        <v>4019</v>
      </c>
      <c r="E20" s="13" t="s">
        <v>566</v>
      </c>
      <c r="F20" s="13" t="s">
        <v>4198</v>
      </c>
      <c r="G20" s="13"/>
      <c r="H20" s="13" t="s">
        <v>4255</v>
      </c>
    </row>
    <row r="21" customFormat="false" ht="15" hidden="false" customHeight="false" outlineLevel="0" collapsed="false">
      <c r="A21" s="13" t="s">
        <v>321</v>
      </c>
      <c r="B21" s="13" t="s">
        <v>4185</v>
      </c>
      <c r="C21" s="13" t="s">
        <v>4256</v>
      </c>
      <c r="D21" s="14" t="s">
        <v>4257</v>
      </c>
      <c r="E21" s="13" t="s">
        <v>437</v>
      </c>
      <c r="F21" s="13" t="s">
        <v>4198</v>
      </c>
      <c r="G21" s="13"/>
      <c r="H21" s="13"/>
    </row>
    <row r="22" customFormat="false" ht="15" hidden="false" customHeight="false" outlineLevel="0" collapsed="false">
      <c r="A22" s="5" t="s">
        <v>321</v>
      </c>
      <c r="B22" s="5" t="s">
        <v>4258</v>
      </c>
      <c r="C22" s="5" t="s">
        <v>4259</v>
      </c>
      <c r="D22" s="6" t="s">
        <v>4260</v>
      </c>
      <c r="E22" s="5" t="s">
        <v>437</v>
      </c>
      <c r="F22" s="5" t="s">
        <v>4192</v>
      </c>
      <c r="G22" s="5"/>
      <c r="H22" s="5"/>
    </row>
    <row r="23" customFormat="false" ht="15" hidden="false" customHeight="false" outlineLevel="0" collapsed="false">
      <c r="A23" s="5" t="s">
        <v>321</v>
      </c>
      <c r="B23" s="5" t="s">
        <v>4258</v>
      </c>
      <c r="C23" s="5" t="s">
        <v>4261</v>
      </c>
      <c r="D23" s="6" t="s">
        <v>4262</v>
      </c>
      <c r="E23" s="5" t="s">
        <v>437</v>
      </c>
      <c r="F23" s="5" t="s">
        <v>4192</v>
      </c>
      <c r="G23" s="5"/>
      <c r="H23" s="5"/>
    </row>
    <row r="24" customFormat="false" ht="15" hidden="false" customHeight="false" outlineLevel="0" collapsed="false">
      <c r="A24" s="5" t="s">
        <v>321</v>
      </c>
      <c r="B24" s="5" t="s">
        <v>4258</v>
      </c>
      <c r="C24" s="5" t="s">
        <v>4263</v>
      </c>
      <c r="D24" s="6" t="s">
        <v>4264</v>
      </c>
      <c r="E24" s="5" t="s">
        <v>437</v>
      </c>
      <c r="F24" s="5" t="s">
        <v>4192</v>
      </c>
      <c r="G24" s="5"/>
      <c r="H24" s="5"/>
    </row>
    <row r="25" customFormat="false" ht="15" hidden="false" customHeight="false" outlineLevel="0" collapsed="false">
      <c r="A25" s="5" t="s">
        <v>321</v>
      </c>
      <c r="B25" s="5" t="s">
        <v>4258</v>
      </c>
      <c r="C25" s="5" t="s">
        <v>4265</v>
      </c>
      <c r="D25" s="6" t="s">
        <v>4266</v>
      </c>
      <c r="E25" s="5" t="s">
        <v>437</v>
      </c>
      <c r="F25" s="5" t="s">
        <v>4192</v>
      </c>
      <c r="G25" s="5"/>
      <c r="H25" s="5"/>
    </row>
    <row r="26" customFormat="false" ht="15" hidden="false" customHeight="false" outlineLevel="0" collapsed="false">
      <c r="A26" s="5" t="s">
        <v>321</v>
      </c>
      <c r="B26" s="5" t="s">
        <v>4258</v>
      </c>
      <c r="C26" s="5" t="s">
        <v>4267</v>
      </c>
      <c r="D26" s="6" t="s">
        <v>4268</v>
      </c>
      <c r="E26" s="5" t="s">
        <v>437</v>
      </c>
      <c r="F26" s="5" t="s">
        <v>4192</v>
      </c>
      <c r="G26" s="5"/>
      <c r="H26" s="5"/>
    </row>
    <row r="27" customFormat="false" ht="15" hidden="false" customHeight="false" outlineLevel="0" collapsed="false">
      <c r="A27" s="5" t="s">
        <v>321</v>
      </c>
      <c r="B27" s="5" t="s">
        <v>4258</v>
      </c>
      <c r="C27" s="5" t="s">
        <v>4190</v>
      </c>
      <c r="D27" s="6" t="s">
        <v>4191</v>
      </c>
      <c r="E27" s="5" t="s">
        <v>437</v>
      </c>
      <c r="F27" s="5" t="s">
        <v>4192</v>
      </c>
      <c r="G27" s="5"/>
      <c r="H27" s="5"/>
    </row>
    <row r="28" customFormat="false" ht="15" hidden="false" customHeight="false" outlineLevel="0" collapsed="false">
      <c r="A28" s="5" t="s">
        <v>321</v>
      </c>
      <c r="B28" s="5" t="s">
        <v>4258</v>
      </c>
      <c r="C28" s="5" t="s">
        <v>4269</v>
      </c>
      <c r="D28" s="6" t="s">
        <v>4270</v>
      </c>
      <c r="E28" s="5" t="s">
        <v>4230</v>
      </c>
      <c r="F28" s="5" t="s">
        <v>4192</v>
      </c>
      <c r="G28" s="5"/>
      <c r="H28" s="5"/>
    </row>
    <row r="30" customFormat="false" ht="15" hidden="false" customHeight="false" outlineLevel="0" collapsed="false">
      <c r="A30" s="15" t="s">
        <v>4271</v>
      </c>
    </row>
    <row r="31" customFormat="false" ht="22.35" hidden="false" customHeight="false" outlineLevel="0" collapsed="false">
      <c r="A31" s="16" t="s">
        <v>4272</v>
      </c>
      <c r="B31" s="16"/>
      <c r="C31" s="16"/>
      <c r="D31" s="17" t="s">
        <v>3923</v>
      </c>
      <c r="G31" s="18" t="s">
        <v>4273</v>
      </c>
    </row>
    <row r="32" customFormat="false" ht="22.35" hidden="false" customHeight="false" outlineLevel="0" collapsed="false">
      <c r="A32" s="16" t="s">
        <v>4274</v>
      </c>
      <c r="B32" s="16"/>
      <c r="C32" s="16"/>
      <c r="D32" s="17" t="s">
        <v>4275</v>
      </c>
      <c r="G32" s="18" t="s">
        <v>4276</v>
      </c>
    </row>
    <row r="33" customFormat="false" ht="15" hidden="false" customHeight="false" outlineLevel="0" collapsed="false">
      <c r="A33" s="16" t="s">
        <v>4277</v>
      </c>
      <c r="B33" s="16"/>
      <c r="C33" s="16"/>
      <c r="D33" s="17" t="s">
        <v>4019</v>
      </c>
      <c r="G33" s="18" t="s">
        <v>4278</v>
      </c>
    </row>
    <row r="34" customFormat="false" ht="22.35" hidden="false" customHeight="false" outlineLevel="0" collapsed="false">
      <c r="A34" s="16" t="s">
        <v>4279</v>
      </c>
      <c r="B34" s="16"/>
      <c r="C34" s="16"/>
      <c r="D34" s="17" t="s">
        <v>3941</v>
      </c>
      <c r="G34" s="18" t="s">
        <v>4280</v>
      </c>
    </row>
    <row r="35" customFormat="false" ht="22.35" hidden="false" customHeight="false" outlineLevel="0" collapsed="false">
      <c r="A35" s="16" t="s">
        <v>4281</v>
      </c>
      <c r="B35" s="16"/>
      <c r="C35" s="16"/>
      <c r="D35" s="17" t="s">
        <v>4282</v>
      </c>
      <c r="G35" s="18" t="s">
        <v>4283</v>
      </c>
    </row>
    <row r="36" customFormat="false" ht="22.35" hidden="false" customHeight="false" outlineLevel="0" collapsed="false">
      <c r="A36" s="16" t="s">
        <v>4284</v>
      </c>
      <c r="B36" s="16"/>
      <c r="C36" s="16"/>
      <c r="D36" s="17" t="s">
        <v>4285</v>
      </c>
      <c r="G36" s="18" t="s">
        <v>4286</v>
      </c>
    </row>
    <row r="37" customFormat="false" ht="22.35" hidden="false" customHeight="false" outlineLevel="0" collapsed="false">
      <c r="A37" s="16" t="s">
        <v>4287</v>
      </c>
      <c r="B37" s="16"/>
      <c r="C37" s="16"/>
      <c r="D37" s="17" t="s">
        <v>4288</v>
      </c>
      <c r="G37" s="18" t="s">
        <v>296</v>
      </c>
    </row>
    <row r="39" customFormat="false" ht="15" hidden="false" customHeight="false" outlineLevel="0" collapsed="false">
      <c r="A39" s="16" t="s">
        <v>4289</v>
      </c>
      <c r="B39" s="16"/>
      <c r="C39" s="16"/>
      <c r="D39" s="16"/>
      <c r="E39" s="16"/>
      <c r="F39" s="16"/>
      <c r="G39" s="16"/>
      <c r="H39" s="16"/>
    </row>
  </sheetData>
  <autoFilter ref="A1:H28"/>
  <mergeCells count="8">
    <mergeCell ref="A31:C31"/>
    <mergeCell ref="A32:C32"/>
    <mergeCell ref="A33:C33"/>
    <mergeCell ref="A34:C34"/>
    <mergeCell ref="A35:C35"/>
    <mergeCell ref="A36:C36"/>
    <mergeCell ref="A37:C37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8" min="7" style="0" width="60"/>
  </cols>
  <sheetData>
    <row r="1" customFormat="false" ht="15" hidden="false" customHeight="false" outlineLevel="0" collapsed="false">
      <c r="A1" s="4" t="s">
        <v>23</v>
      </c>
      <c r="B1" s="4" t="s">
        <v>4177</v>
      </c>
      <c r="C1" s="4" t="s">
        <v>4178</v>
      </c>
      <c r="D1" s="4" t="s">
        <v>4179</v>
      </c>
      <c r="E1" s="4" t="s">
        <v>415</v>
      </c>
      <c r="F1" s="4" t="s">
        <v>4180</v>
      </c>
      <c r="G1" s="4" t="s">
        <v>4181</v>
      </c>
      <c r="H1" s="4" t="s">
        <v>4182</v>
      </c>
    </row>
    <row r="2" customFormat="false" ht="15" hidden="false" customHeight="false" outlineLevel="0" collapsed="false">
      <c r="A2" s="5" t="s">
        <v>345</v>
      </c>
      <c r="B2" s="5" t="s">
        <v>4220</v>
      </c>
      <c r="C2" s="5" t="s">
        <v>4190</v>
      </c>
      <c r="D2" s="6" t="s">
        <v>4290</v>
      </c>
      <c r="E2" s="5" t="s">
        <v>437</v>
      </c>
      <c r="F2" s="5" t="s">
        <v>4192</v>
      </c>
      <c r="G2" s="5"/>
      <c r="H2" s="5"/>
    </row>
    <row r="3" customFormat="false" ht="15" hidden="false" customHeight="false" outlineLevel="0" collapsed="false">
      <c r="A3" s="5" t="s">
        <v>345</v>
      </c>
      <c r="B3" s="5" t="s">
        <v>4220</v>
      </c>
      <c r="C3" s="5" t="s">
        <v>4291</v>
      </c>
      <c r="D3" s="6" t="s">
        <v>4292</v>
      </c>
      <c r="E3" s="5" t="s">
        <v>437</v>
      </c>
      <c r="F3" s="5" t="s">
        <v>4192</v>
      </c>
      <c r="G3" s="5"/>
      <c r="H3" s="5"/>
    </row>
    <row r="4" customFormat="false" ht="15" hidden="false" customHeight="false" outlineLevel="0" collapsed="false">
      <c r="A4" s="5" t="s">
        <v>345</v>
      </c>
      <c r="B4" s="5" t="s">
        <v>4220</v>
      </c>
      <c r="C4" s="5" t="s">
        <v>4269</v>
      </c>
      <c r="D4" s="6" t="s">
        <v>4293</v>
      </c>
      <c r="E4" s="5" t="s">
        <v>4230</v>
      </c>
      <c r="F4" s="5" t="s">
        <v>4192</v>
      </c>
      <c r="G4" s="5"/>
      <c r="H4" s="5"/>
    </row>
    <row r="5" customFormat="false" ht="15" hidden="false" customHeight="false" outlineLevel="0" collapsed="false">
      <c r="A5" s="5" t="s">
        <v>345</v>
      </c>
      <c r="B5" s="5" t="s">
        <v>4220</v>
      </c>
      <c r="C5" s="5" t="s">
        <v>4294</v>
      </c>
      <c r="D5" s="6" t="s">
        <v>4295</v>
      </c>
      <c r="E5" s="5" t="s">
        <v>437</v>
      </c>
      <c r="F5" s="5" t="s">
        <v>4192</v>
      </c>
      <c r="G5" s="5"/>
      <c r="H5" s="5"/>
    </row>
    <row r="6" customFormat="false" ht="15" hidden="false" customHeight="false" outlineLevel="0" collapsed="false">
      <c r="A6" s="5" t="s">
        <v>345</v>
      </c>
      <c r="B6" s="5" t="s">
        <v>4193</v>
      </c>
      <c r="C6" s="5" t="s">
        <v>4296</v>
      </c>
      <c r="D6" s="6" t="s">
        <v>4297</v>
      </c>
      <c r="E6" s="5" t="s">
        <v>437</v>
      </c>
      <c r="F6" s="5" t="s">
        <v>4192</v>
      </c>
      <c r="G6" s="5"/>
      <c r="H6" s="5"/>
    </row>
    <row r="7" customFormat="false" ht="15" hidden="false" customHeight="false" outlineLevel="0" collapsed="false">
      <c r="A7" s="5" t="s">
        <v>345</v>
      </c>
      <c r="B7" s="5" t="s">
        <v>4193</v>
      </c>
      <c r="C7" s="5" t="s">
        <v>4298</v>
      </c>
      <c r="D7" s="6" t="s">
        <v>4299</v>
      </c>
      <c r="E7" s="5" t="s">
        <v>437</v>
      </c>
      <c r="F7" s="5" t="s">
        <v>4192</v>
      </c>
      <c r="G7" s="5"/>
      <c r="H7" s="5"/>
    </row>
    <row r="8" customFormat="false" ht="15" hidden="false" customHeight="false" outlineLevel="0" collapsed="false">
      <c r="A8" s="13" t="s">
        <v>345</v>
      </c>
      <c r="B8" s="13" t="s">
        <v>4193</v>
      </c>
      <c r="C8" s="13" t="s">
        <v>4300</v>
      </c>
      <c r="D8" s="14" t="s">
        <v>4301</v>
      </c>
      <c r="E8" s="13" t="s">
        <v>437</v>
      </c>
      <c r="F8" s="13" t="s">
        <v>4198</v>
      </c>
      <c r="G8" s="13"/>
      <c r="H8" s="13"/>
    </row>
    <row r="9" customFormat="false" ht="15" hidden="false" customHeight="false" outlineLevel="0" collapsed="false">
      <c r="A9" s="5" t="s">
        <v>345</v>
      </c>
      <c r="B9" s="5" t="s">
        <v>4193</v>
      </c>
      <c r="C9" s="5" t="s">
        <v>4302</v>
      </c>
      <c r="D9" s="6" t="s">
        <v>4303</v>
      </c>
      <c r="E9" s="5" t="s">
        <v>437</v>
      </c>
      <c r="F9" s="5" t="s">
        <v>4192</v>
      </c>
      <c r="G9" s="5"/>
      <c r="H9" s="5"/>
    </row>
    <row r="10" customFormat="false" ht="15" hidden="false" customHeight="false" outlineLevel="0" collapsed="false">
      <c r="A10" s="13" t="s">
        <v>345</v>
      </c>
      <c r="B10" s="13" t="s">
        <v>4193</v>
      </c>
      <c r="C10" s="13" t="s">
        <v>4224</v>
      </c>
      <c r="D10" s="14" t="s">
        <v>4053</v>
      </c>
      <c r="E10" s="13" t="s">
        <v>566</v>
      </c>
      <c r="F10" s="13" t="s">
        <v>4198</v>
      </c>
      <c r="G10" s="13"/>
      <c r="H10" s="13" t="s">
        <v>4304</v>
      </c>
    </row>
    <row r="11" customFormat="false" ht="23.85" hidden="false" customHeight="false" outlineLevel="0" collapsed="false">
      <c r="A11" s="13" t="s">
        <v>345</v>
      </c>
      <c r="B11" s="13" t="s">
        <v>4193</v>
      </c>
      <c r="C11" s="13" t="s">
        <v>4305</v>
      </c>
      <c r="D11" s="14" t="s">
        <v>4062</v>
      </c>
      <c r="E11" s="13" t="s">
        <v>566</v>
      </c>
      <c r="F11" s="13" t="s">
        <v>4198</v>
      </c>
      <c r="G11" s="13"/>
      <c r="H11" s="13" t="s">
        <v>4306</v>
      </c>
    </row>
    <row r="12" customFormat="false" ht="15" hidden="false" customHeight="false" outlineLevel="0" collapsed="false">
      <c r="A12" s="13" t="s">
        <v>345</v>
      </c>
      <c r="B12" s="13" t="s">
        <v>4193</v>
      </c>
      <c r="C12" s="13" t="s">
        <v>4307</v>
      </c>
      <c r="D12" s="14" t="s">
        <v>4067</v>
      </c>
      <c r="E12" s="13" t="s">
        <v>566</v>
      </c>
      <c r="F12" s="13" t="s">
        <v>4198</v>
      </c>
      <c r="G12" s="13"/>
      <c r="H12" s="13" t="s">
        <v>1747</v>
      </c>
    </row>
    <row r="13" customFormat="false" ht="15" hidden="false" customHeight="false" outlineLevel="0" collapsed="false">
      <c r="A13" s="11" t="s">
        <v>345</v>
      </c>
      <c r="B13" s="11" t="s">
        <v>4193</v>
      </c>
      <c r="C13" s="11" t="s">
        <v>4308</v>
      </c>
      <c r="D13" s="12" t="s">
        <v>4309</v>
      </c>
      <c r="E13" s="11" t="s">
        <v>4233</v>
      </c>
      <c r="F13" s="11" t="s">
        <v>4234</v>
      </c>
      <c r="G13" s="11"/>
      <c r="H13" s="11"/>
    </row>
    <row r="14" customFormat="false" ht="15" hidden="false" customHeight="false" outlineLevel="0" collapsed="false">
      <c r="A14" s="5" t="s">
        <v>345</v>
      </c>
      <c r="B14" s="5" t="s">
        <v>4193</v>
      </c>
      <c r="C14" s="5" t="s">
        <v>4310</v>
      </c>
      <c r="D14" s="6" t="s">
        <v>4311</v>
      </c>
      <c r="E14" s="5" t="s">
        <v>437</v>
      </c>
      <c r="F14" s="5" t="s">
        <v>4192</v>
      </c>
      <c r="G14" s="5"/>
      <c r="H14" s="5"/>
    </row>
    <row r="15" customFormat="false" ht="15" hidden="false" customHeight="false" outlineLevel="0" collapsed="false">
      <c r="A15" s="5" t="s">
        <v>345</v>
      </c>
      <c r="B15" s="5" t="s">
        <v>4193</v>
      </c>
      <c r="C15" s="5" t="s">
        <v>4312</v>
      </c>
      <c r="D15" s="6" t="s">
        <v>4313</v>
      </c>
      <c r="E15" s="5" t="s">
        <v>437</v>
      </c>
      <c r="F15" s="5" t="s">
        <v>4192</v>
      </c>
      <c r="G15" s="5"/>
      <c r="H15" s="5"/>
    </row>
    <row r="16" customFormat="false" ht="15" hidden="false" customHeight="false" outlineLevel="0" collapsed="false">
      <c r="A16" s="9" t="s">
        <v>345</v>
      </c>
      <c r="B16" s="9" t="s">
        <v>4193</v>
      </c>
      <c r="C16" s="9" t="s">
        <v>4314</v>
      </c>
      <c r="D16" s="10" t="s">
        <v>4315</v>
      </c>
      <c r="E16" s="9" t="s">
        <v>437</v>
      </c>
      <c r="F16" s="9" t="s">
        <v>4188</v>
      </c>
      <c r="G16" s="9" t="s">
        <v>4316</v>
      </c>
      <c r="H16" s="9"/>
    </row>
    <row r="17" customFormat="false" ht="23.85" hidden="false" customHeight="false" outlineLevel="0" collapsed="false">
      <c r="A17" s="13" t="s">
        <v>345</v>
      </c>
      <c r="B17" s="13" t="s">
        <v>4236</v>
      </c>
      <c r="C17" s="13" t="s">
        <v>4317</v>
      </c>
      <c r="D17" s="14" t="s">
        <v>4070</v>
      </c>
      <c r="E17" s="13" t="s">
        <v>566</v>
      </c>
      <c r="F17" s="13" t="s">
        <v>4198</v>
      </c>
      <c r="G17" s="13"/>
      <c r="H17" s="13" t="s">
        <v>4318</v>
      </c>
    </row>
    <row r="18" customFormat="false" ht="15" hidden="false" customHeight="false" outlineLevel="0" collapsed="false">
      <c r="A18" s="5" t="s">
        <v>345</v>
      </c>
      <c r="B18" s="5" t="s">
        <v>4236</v>
      </c>
      <c r="C18" s="5" t="s">
        <v>4319</v>
      </c>
      <c r="D18" s="6" t="s">
        <v>4320</v>
      </c>
      <c r="E18" s="5" t="s">
        <v>437</v>
      </c>
      <c r="F18" s="5" t="s">
        <v>4192</v>
      </c>
      <c r="G18" s="5"/>
      <c r="H18" s="5"/>
    </row>
    <row r="19" customFormat="false" ht="15" hidden="false" customHeight="false" outlineLevel="0" collapsed="false">
      <c r="A19" s="13" t="s">
        <v>345</v>
      </c>
      <c r="B19" s="13" t="s">
        <v>4321</v>
      </c>
      <c r="C19" s="13" t="s">
        <v>4259</v>
      </c>
      <c r="D19" s="14" t="s">
        <v>4322</v>
      </c>
      <c r="E19" s="13" t="s">
        <v>437</v>
      </c>
      <c r="F19" s="13" t="s">
        <v>4208</v>
      </c>
      <c r="G19" s="13"/>
      <c r="H19" s="13"/>
    </row>
    <row r="20" customFormat="false" ht="15" hidden="false" customHeight="false" outlineLevel="0" collapsed="false">
      <c r="A20" s="5" t="s">
        <v>345</v>
      </c>
      <c r="B20" s="5" t="s">
        <v>4321</v>
      </c>
      <c r="C20" s="5" t="s">
        <v>4323</v>
      </c>
      <c r="D20" s="6" t="s">
        <v>4262</v>
      </c>
      <c r="E20" s="5" t="s">
        <v>437</v>
      </c>
      <c r="F20" s="5" t="s">
        <v>4192</v>
      </c>
      <c r="G20" s="5"/>
      <c r="H20" s="5"/>
    </row>
    <row r="21" customFormat="false" ht="15" hidden="false" customHeight="false" outlineLevel="0" collapsed="false">
      <c r="A21" s="5" t="s">
        <v>345</v>
      </c>
      <c r="B21" s="5" t="s">
        <v>4321</v>
      </c>
      <c r="C21" s="5" t="s">
        <v>4324</v>
      </c>
      <c r="D21" s="6" t="s">
        <v>4325</v>
      </c>
      <c r="E21" s="5" t="s">
        <v>437</v>
      </c>
      <c r="F21" s="5" t="s">
        <v>4192</v>
      </c>
      <c r="G21" s="5"/>
      <c r="H21" s="5"/>
    </row>
    <row r="22" customFormat="false" ht="15" hidden="false" customHeight="false" outlineLevel="0" collapsed="false">
      <c r="A22" s="5" t="s">
        <v>345</v>
      </c>
      <c r="B22" s="5" t="s">
        <v>4321</v>
      </c>
      <c r="C22" s="5" t="s">
        <v>4291</v>
      </c>
      <c r="D22" s="6" t="s">
        <v>4292</v>
      </c>
      <c r="E22" s="5" t="s">
        <v>437</v>
      </c>
      <c r="F22" s="5" t="s">
        <v>4192</v>
      </c>
      <c r="G22" s="5"/>
      <c r="H22" s="5"/>
    </row>
    <row r="23" customFormat="false" ht="15" hidden="false" customHeight="false" outlineLevel="0" collapsed="false">
      <c r="A23" s="5" t="s">
        <v>345</v>
      </c>
      <c r="B23" s="5" t="s">
        <v>4321</v>
      </c>
      <c r="C23" s="5" t="s">
        <v>4326</v>
      </c>
      <c r="D23" s="6" t="s">
        <v>4290</v>
      </c>
      <c r="E23" s="5" t="s">
        <v>437</v>
      </c>
      <c r="F23" s="5" t="s">
        <v>4192</v>
      </c>
      <c r="G23" s="5"/>
      <c r="H23" s="5"/>
    </row>
    <row r="24" customFormat="false" ht="15" hidden="false" customHeight="false" outlineLevel="0" collapsed="false">
      <c r="A24" s="5" t="s">
        <v>345</v>
      </c>
      <c r="B24" s="5" t="s">
        <v>4321</v>
      </c>
      <c r="C24" s="5" t="s">
        <v>4267</v>
      </c>
      <c r="D24" s="6" t="s">
        <v>4268</v>
      </c>
      <c r="E24" s="5" t="s">
        <v>437</v>
      </c>
      <c r="F24" s="5" t="s">
        <v>4192</v>
      </c>
      <c r="G24" s="5"/>
      <c r="H24" s="5"/>
    </row>
    <row r="25" customFormat="false" ht="15" hidden="false" customHeight="false" outlineLevel="0" collapsed="false">
      <c r="A25" s="13" t="s">
        <v>345</v>
      </c>
      <c r="B25" s="13" t="s">
        <v>4321</v>
      </c>
      <c r="C25" s="13" t="s">
        <v>4265</v>
      </c>
      <c r="D25" s="14" t="s">
        <v>4327</v>
      </c>
      <c r="E25" s="13" t="s">
        <v>437</v>
      </c>
      <c r="F25" s="13" t="s">
        <v>4208</v>
      </c>
      <c r="G25" s="13"/>
      <c r="H25" s="13"/>
    </row>
    <row r="27" customFormat="false" ht="15" hidden="false" customHeight="false" outlineLevel="0" collapsed="false">
      <c r="A27" s="15" t="s">
        <v>4271</v>
      </c>
    </row>
    <row r="28" customFormat="false" ht="32.8" hidden="false" customHeight="false" outlineLevel="0" collapsed="false">
      <c r="A28" s="16" t="s">
        <v>4328</v>
      </c>
      <c r="B28" s="16"/>
      <c r="C28" s="16"/>
      <c r="D28" s="17" t="s">
        <v>4329</v>
      </c>
      <c r="G28" s="18" t="s">
        <v>4330</v>
      </c>
    </row>
    <row r="29" customFormat="false" ht="22.35" hidden="false" customHeight="false" outlineLevel="0" collapsed="false">
      <c r="A29" s="16" t="s">
        <v>4331</v>
      </c>
      <c r="B29" s="16"/>
      <c r="C29" s="16"/>
      <c r="D29" s="17" t="s">
        <v>4083</v>
      </c>
      <c r="G29" s="18" t="s">
        <v>348</v>
      </c>
    </row>
    <row r="30" customFormat="false" ht="22.35" hidden="false" customHeight="false" outlineLevel="0" collapsed="false">
      <c r="A30" s="16" t="s">
        <v>4332</v>
      </c>
      <c r="B30" s="16"/>
      <c r="C30" s="16"/>
      <c r="D30" s="17" t="s">
        <v>4333</v>
      </c>
      <c r="G30" s="18" t="s">
        <v>4334</v>
      </c>
    </row>
    <row r="31" customFormat="false" ht="15" hidden="false" customHeight="false" outlineLevel="0" collapsed="false">
      <c r="A31" s="16" t="s">
        <v>4335</v>
      </c>
      <c r="B31" s="16"/>
      <c r="C31" s="16"/>
      <c r="D31" s="17" t="s">
        <v>4067</v>
      </c>
      <c r="G31" s="18" t="s">
        <v>4336</v>
      </c>
    </row>
    <row r="32" customFormat="false" ht="22.35" hidden="false" customHeight="false" outlineLevel="0" collapsed="false">
      <c r="A32" s="16" t="s">
        <v>4337</v>
      </c>
      <c r="B32" s="16"/>
      <c r="C32" s="16"/>
      <c r="D32" s="17" t="s">
        <v>4303</v>
      </c>
      <c r="G32" s="18" t="s">
        <v>4338</v>
      </c>
    </row>
  </sheetData>
  <autoFilter ref="A1:H25"/>
  <mergeCells count="5">
    <mergeCell ref="A28:C28"/>
    <mergeCell ref="A29:C29"/>
    <mergeCell ref="A30:C30"/>
    <mergeCell ref="A31:C31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8" min="7" style="0" width="60"/>
  </cols>
  <sheetData>
    <row r="1" customFormat="false" ht="15" hidden="false" customHeight="false" outlineLevel="0" collapsed="false">
      <c r="A1" s="4" t="s">
        <v>23</v>
      </c>
      <c r="B1" s="4" t="s">
        <v>4177</v>
      </c>
      <c r="C1" s="4" t="s">
        <v>4178</v>
      </c>
      <c r="D1" s="4" t="s">
        <v>4179</v>
      </c>
      <c r="E1" s="4" t="s">
        <v>415</v>
      </c>
      <c r="F1" s="4" t="s">
        <v>4180</v>
      </c>
      <c r="G1" s="4" t="s">
        <v>4181</v>
      </c>
      <c r="H1" s="4" t="s">
        <v>4182</v>
      </c>
    </row>
    <row r="2" customFormat="false" ht="15" hidden="false" customHeight="false" outlineLevel="0" collapsed="false">
      <c r="A2" s="5" t="s">
        <v>360</v>
      </c>
      <c r="B2" s="5" t="s">
        <v>4339</v>
      </c>
      <c r="C2" s="5" t="s">
        <v>4340</v>
      </c>
      <c r="D2" s="6" t="s">
        <v>4341</v>
      </c>
      <c r="E2" s="5" t="s">
        <v>437</v>
      </c>
      <c r="F2" s="5" t="s">
        <v>4192</v>
      </c>
      <c r="G2" s="5"/>
      <c r="H2" s="5"/>
    </row>
    <row r="3" customFormat="false" ht="15" hidden="false" customHeight="false" outlineLevel="0" collapsed="false">
      <c r="A3" s="5" t="s">
        <v>360</v>
      </c>
      <c r="B3" s="5" t="s">
        <v>4339</v>
      </c>
      <c r="C3" s="5" t="s">
        <v>4342</v>
      </c>
      <c r="D3" s="6" t="s">
        <v>4343</v>
      </c>
      <c r="E3" s="5" t="s">
        <v>437</v>
      </c>
      <c r="F3" s="5" t="s">
        <v>4192</v>
      </c>
      <c r="G3" s="5"/>
      <c r="H3" s="5"/>
    </row>
    <row r="4" customFormat="false" ht="15" hidden="false" customHeight="false" outlineLevel="0" collapsed="false">
      <c r="A4" s="5" t="s">
        <v>360</v>
      </c>
      <c r="B4" s="5" t="s">
        <v>4339</v>
      </c>
      <c r="C4" s="5" t="s">
        <v>4344</v>
      </c>
      <c r="D4" s="6" t="s">
        <v>4345</v>
      </c>
      <c r="E4" s="5" t="s">
        <v>437</v>
      </c>
      <c r="F4" s="5" t="s">
        <v>4192</v>
      </c>
      <c r="G4" s="5"/>
      <c r="H4" s="5"/>
    </row>
    <row r="5" customFormat="false" ht="15" hidden="false" customHeight="false" outlineLevel="0" collapsed="false">
      <c r="A5" s="13" t="s">
        <v>360</v>
      </c>
      <c r="B5" s="13" t="s">
        <v>4346</v>
      </c>
      <c r="C5" s="13" t="s">
        <v>1668</v>
      </c>
      <c r="D5" s="14" t="s">
        <v>4124</v>
      </c>
      <c r="E5" s="13" t="s">
        <v>566</v>
      </c>
      <c r="F5" s="13" t="s">
        <v>4198</v>
      </c>
      <c r="G5" s="13"/>
      <c r="H5" s="13" t="s">
        <v>4347</v>
      </c>
    </row>
    <row r="6" customFormat="false" ht="46.25" hidden="false" customHeight="false" outlineLevel="0" collapsed="false">
      <c r="A6" s="13" t="s">
        <v>360</v>
      </c>
      <c r="B6" s="13" t="s">
        <v>4346</v>
      </c>
      <c r="C6" s="13" t="s">
        <v>4348</v>
      </c>
      <c r="D6" s="14" t="s">
        <v>4131</v>
      </c>
      <c r="E6" s="13" t="s">
        <v>566</v>
      </c>
      <c r="F6" s="13" t="s">
        <v>4198</v>
      </c>
      <c r="G6" s="13"/>
      <c r="H6" s="13" t="s">
        <v>4349</v>
      </c>
    </row>
    <row r="7" customFormat="false" ht="15" hidden="false" customHeight="false" outlineLevel="0" collapsed="false">
      <c r="A7" s="13" t="s">
        <v>360</v>
      </c>
      <c r="B7" s="13" t="s">
        <v>4346</v>
      </c>
      <c r="C7" s="13" t="s">
        <v>4350</v>
      </c>
      <c r="D7" s="14" t="s">
        <v>4156</v>
      </c>
      <c r="E7" s="13" t="s">
        <v>566</v>
      </c>
      <c r="F7" s="13" t="s">
        <v>4198</v>
      </c>
      <c r="G7" s="13"/>
      <c r="H7" s="13" t="s">
        <v>4351</v>
      </c>
    </row>
    <row r="8" customFormat="false" ht="15" hidden="false" customHeight="false" outlineLevel="0" collapsed="false">
      <c r="A8" s="13" t="s">
        <v>360</v>
      </c>
      <c r="B8" s="13" t="s">
        <v>4352</v>
      </c>
      <c r="C8" s="13" t="s">
        <v>4353</v>
      </c>
      <c r="D8" s="14" t="s">
        <v>244</v>
      </c>
      <c r="E8" s="13" t="s">
        <v>428</v>
      </c>
      <c r="F8" s="13" t="s">
        <v>4208</v>
      </c>
      <c r="G8" s="13"/>
      <c r="H8" s="13"/>
    </row>
    <row r="9" customFormat="false" ht="15" hidden="false" customHeight="false" outlineLevel="0" collapsed="false">
      <c r="A9" s="5" t="s">
        <v>360</v>
      </c>
      <c r="B9" s="5" t="s">
        <v>4352</v>
      </c>
      <c r="C9" s="5" t="s">
        <v>4214</v>
      </c>
      <c r="D9" s="6" t="s">
        <v>4354</v>
      </c>
      <c r="E9" s="5" t="s">
        <v>622</v>
      </c>
      <c r="F9" s="5" t="s">
        <v>4192</v>
      </c>
      <c r="G9" s="5"/>
      <c r="H9" s="5"/>
    </row>
    <row r="10" customFormat="false" ht="23.85" hidden="false" customHeight="false" outlineLevel="0" collapsed="false">
      <c r="A10" s="9" t="s">
        <v>360</v>
      </c>
      <c r="B10" s="9" t="s">
        <v>4355</v>
      </c>
      <c r="C10" s="9" t="s">
        <v>4356</v>
      </c>
      <c r="D10" s="10" t="s">
        <v>4357</v>
      </c>
      <c r="E10" s="9" t="s">
        <v>437</v>
      </c>
      <c r="F10" s="9" t="s">
        <v>4188</v>
      </c>
      <c r="G10" s="9" t="s">
        <v>4358</v>
      </c>
      <c r="H10" s="9"/>
    </row>
    <row r="11" customFormat="false" ht="15" hidden="false" customHeight="false" outlineLevel="0" collapsed="false">
      <c r="A11" s="9" t="s">
        <v>360</v>
      </c>
      <c r="B11" s="9" t="s">
        <v>4355</v>
      </c>
      <c r="C11" s="9" t="s">
        <v>4359</v>
      </c>
      <c r="D11" s="10" t="s">
        <v>4360</v>
      </c>
      <c r="E11" s="9" t="s">
        <v>437</v>
      </c>
      <c r="F11" s="9" t="s">
        <v>4188</v>
      </c>
      <c r="G11" s="9" t="s">
        <v>4361</v>
      </c>
      <c r="H11" s="9"/>
    </row>
    <row r="12" customFormat="false" ht="15" hidden="false" customHeight="false" outlineLevel="0" collapsed="false">
      <c r="A12" s="9" t="s">
        <v>360</v>
      </c>
      <c r="B12" s="9" t="s">
        <v>4355</v>
      </c>
      <c r="C12" s="9" t="s">
        <v>4362</v>
      </c>
      <c r="D12" s="10" t="s">
        <v>4363</v>
      </c>
      <c r="E12" s="9" t="s">
        <v>437</v>
      </c>
      <c r="F12" s="9" t="s">
        <v>4188</v>
      </c>
      <c r="G12" s="9" t="s">
        <v>4364</v>
      </c>
      <c r="H12" s="9"/>
    </row>
    <row r="13" customFormat="false" ht="15" hidden="false" customHeight="false" outlineLevel="0" collapsed="false">
      <c r="A13" s="9" t="s">
        <v>360</v>
      </c>
      <c r="B13" s="9" t="s">
        <v>4365</v>
      </c>
      <c r="C13" s="9" t="s">
        <v>4366</v>
      </c>
      <c r="D13" s="10" t="s">
        <v>4367</v>
      </c>
      <c r="E13" s="9" t="s">
        <v>437</v>
      </c>
      <c r="F13" s="9" t="s">
        <v>4188</v>
      </c>
      <c r="G13" s="9" t="s">
        <v>4368</v>
      </c>
      <c r="H13" s="9"/>
    </row>
    <row r="14" customFormat="false" ht="15" hidden="false" customHeight="false" outlineLevel="0" collapsed="false">
      <c r="A14" s="9" t="s">
        <v>360</v>
      </c>
      <c r="B14" s="9" t="s">
        <v>4365</v>
      </c>
      <c r="C14" s="9" t="s">
        <v>4369</v>
      </c>
      <c r="D14" s="10" t="s">
        <v>4370</v>
      </c>
      <c r="E14" s="9" t="s">
        <v>437</v>
      </c>
      <c r="F14" s="9" t="s">
        <v>4188</v>
      </c>
      <c r="G14" s="9" t="s">
        <v>4371</v>
      </c>
      <c r="H14" s="9"/>
    </row>
    <row r="15" customFormat="false" ht="15" hidden="false" customHeight="false" outlineLevel="0" collapsed="false">
      <c r="A15" s="9" t="s">
        <v>360</v>
      </c>
      <c r="B15" s="9" t="s">
        <v>4365</v>
      </c>
      <c r="C15" s="9" t="s">
        <v>4372</v>
      </c>
      <c r="D15" s="10" t="s">
        <v>4373</v>
      </c>
      <c r="E15" s="9" t="s">
        <v>437</v>
      </c>
      <c r="F15" s="9" t="s">
        <v>4188</v>
      </c>
      <c r="G15" s="9" t="s">
        <v>4371</v>
      </c>
      <c r="H15" s="9"/>
    </row>
    <row r="16" customFormat="false" ht="23.85" hidden="false" customHeight="false" outlineLevel="0" collapsed="false">
      <c r="A16" s="9" t="s">
        <v>360</v>
      </c>
      <c r="B16" s="9" t="s">
        <v>4374</v>
      </c>
      <c r="C16" s="9" t="s">
        <v>4375</v>
      </c>
      <c r="D16" s="10" t="s">
        <v>777</v>
      </c>
      <c r="E16" s="9" t="s">
        <v>437</v>
      </c>
      <c r="F16" s="9" t="s">
        <v>4188</v>
      </c>
      <c r="G16" s="9" t="s">
        <v>4376</v>
      </c>
      <c r="H16" s="9"/>
    </row>
    <row r="17" customFormat="false" ht="23.85" hidden="false" customHeight="false" outlineLevel="0" collapsed="false">
      <c r="A17" s="9" t="s">
        <v>360</v>
      </c>
      <c r="B17" s="9" t="s">
        <v>4374</v>
      </c>
      <c r="C17" s="9" t="s">
        <v>4377</v>
      </c>
      <c r="D17" s="10" t="s">
        <v>4378</v>
      </c>
      <c r="E17" s="9" t="s">
        <v>437</v>
      </c>
      <c r="F17" s="9" t="s">
        <v>4188</v>
      </c>
      <c r="G17" s="9" t="s">
        <v>4379</v>
      </c>
      <c r="H17" s="9"/>
    </row>
    <row r="18" customFormat="false" ht="23.85" hidden="false" customHeight="false" outlineLevel="0" collapsed="false">
      <c r="A18" s="9" t="s">
        <v>360</v>
      </c>
      <c r="B18" s="9" t="s">
        <v>4374</v>
      </c>
      <c r="C18" s="9" t="s">
        <v>4380</v>
      </c>
      <c r="D18" s="10" t="s">
        <v>4381</v>
      </c>
      <c r="E18" s="9" t="s">
        <v>4230</v>
      </c>
      <c r="F18" s="9" t="s">
        <v>4188</v>
      </c>
      <c r="G18" s="9" t="s">
        <v>4371</v>
      </c>
      <c r="H18" s="9"/>
    </row>
    <row r="19" customFormat="false" ht="23.85" hidden="false" customHeight="false" outlineLevel="0" collapsed="false">
      <c r="A19" s="13" t="s">
        <v>360</v>
      </c>
      <c r="B19" s="13" t="s">
        <v>4374</v>
      </c>
      <c r="C19" s="13" t="s">
        <v>4382</v>
      </c>
      <c r="D19" s="14" t="s">
        <v>780</v>
      </c>
      <c r="E19" s="13" t="s">
        <v>437</v>
      </c>
      <c r="F19" s="13" t="s">
        <v>4208</v>
      </c>
      <c r="G19" s="13"/>
      <c r="H19" s="13"/>
    </row>
    <row r="20" customFormat="false" ht="23.85" hidden="false" customHeight="false" outlineLevel="0" collapsed="false">
      <c r="A20" s="9" t="s">
        <v>360</v>
      </c>
      <c r="B20" s="9" t="s">
        <v>4374</v>
      </c>
      <c r="C20" s="9" t="s">
        <v>4383</v>
      </c>
      <c r="D20" s="10" t="s">
        <v>4384</v>
      </c>
      <c r="E20" s="9" t="s">
        <v>437</v>
      </c>
      <c r="F20" s="9" t="s">
        <v>4188</v>
      </c>
      <c r="G20" s="9" t="s">
        <v>4385</v>
      </c>
      <c r="H20" s="9"/>
    </row>
    <row r="21" customFormat="false" ht="23.85" hidden="false" customHeight="false" outlineLevel="0" collapsed="false">
      <c r="A21" s="9" t="s">
        <v>360</v>
      </c>
      <c r="B21" s="9" t="s">
        <v>4374</v>
      </c>
      <c r="C21" s="9" t="s">
        <v>4386</v>
      </c>
      <c r="D21" s="10" t="s">
        <v>4387</v>
      </c>
      <c r="E21" s="9" t="s">
        <v>437</v>
      </c>
      <c r="F21" s="9" t="s">
        <v>4188</v>
      </c>
      <c r="G21" s="9" t="s">
        <v>4388</v>
      </c>
      <c r="H21" s="9"/>
    </row>
    <row r="22" customFormat="false" ht="23.85" hidden="false" customHeight="false" outlineLevel="0" collapsed="false">
      <c r="A22" s="9" t="s">
        <v>360</v>
      </c>
      <c r="B22" s="9" t="s">
        <v>4374</v>
      </c>
      <c r="C22" s="9" t="s">
        <v>4389</v>
      </c>
      <c r="D22" s="10" t="s">
        <v>4390</v>
      </c>
      <c r="E22" s="9" t="s">
        <v>437</v>
      </c>
      <c r="F22" s="9" t="s">
        <v>4188</v>
      </c>
      <c r="G22" s="9" t="s">
        <v>4391</v>
      </c>
      <c r="H22" s="9"/>
    </row>
    <row r="24" customFormat="false" ht="15" hidden="false" customHeight="false" outlineLevel="0" collapsed="false">
      <c r="A24" s="15" t="s">
        <v>4271</v>
      </c>
    </row>
    <row r="25" customFormat="false" ht="32.8" hidden="false" customHeight="false" outlineLevel="0" collapsed="false">
      <c r="A25" s="16" t="s">
        <v>4392</v>
      </c>
      <c r="B25" s="16"/>
      <c r="C25" s="16"/>
      <c r="D25" s="17" t="s">
        <v>4131</v>
      </c>
      <c r="G25" s="18" t="s">
        <v>4393</v>
      </c>
    </row>
    <row r="26" customFormat="false" ht="32.8" hidden="false" customHeight="false" outlineLevel="0" collapsed="false">
      <c r="A26" s="16" t="s">
        <v>4394</v>
      </c>
      <c r="B26" s="16"/>
      <c r="C26" s="16"/>
      <c r="D26" s="17" t="s">
        <v>4395</v>
      </c>
      <c r="G26" s="18" t="s">
        <v>4396</v>
      </c>
    </row>
    <row r="27" customFormat="false" ht="32.8" hidden="false" customHeight="false" outlineLevel="0" collapsed="false">
      <c r="A27" s="16" t="s">
        <v>4397</v>
      </c>
      <c r="B27" s="16"/>
      <c r="C27" s="16"/>
      <c r="D27" s="17" t="s">
        <v>244</v>
      </c>
      <c r="G27" s="18" t="s">
        <v>4398</v>
      </c>
    </row>
    <row r="28" customFormat="false" ht="22.35" hidden="false" customHeight="false" outlineLevel="0" collapsed="false">
      <c r="A28" s="16" t="s">
        <v>4399</v>
      </c>
      <c r="B28" s="16"/>
      <c r="C28" s="16"/>
      <c r="D28" s="17" t="s">
        <v>4400</v>
      </c>
      <c r="G28" s="18" t="s">
        <v>4401</v>
      </c>
    </row>
    <row r="30" customFormat="false" ht="15" hidden="false" customHeight="false" outlineLevel="0" collapsed="false">
      <c r="A30" s="16" t="s">
        <v>4402</v>
      </c>
      <c r="B30" s="16"/>
      <c r="C30" s="16"/>
      <c r="D30" s="16"/>
      <c r="E30" s="16"/>
      <c r="F30" s="16"/>
      <c r="G30" s="16"/>
      <c r="H30" s="16"/>
    </row>
  </sheetData>
  <autoFilter ref="A1:H22"/>
  <mergeCells count="5">
    <mergeCell ref="A25:C25"/>
    <mergeCell ref="A26:C26"/>
    <mergeCell ref="A27:C27"/>
    <mergeCell ref="A28:C28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8" min="7" style="0" width="60"/>
  </cols>
  <sheetData>
    <row r="1" customFormat="false" ht="15" hidden="false" customHeight="false" outlineLevel="0" collapsed="false">
      <c r="A1" s="4" t="s">
        <v>23</v>
      </c>
      <c r="B1" s="4" t="s">
        <v>4177</v>
      </c>
      <c r="C1" s="4" t="s">
        <v>4178</v>
      </c>
      <c r="D1" s="4" t="s">
        <v>4179</v>
      </c>
      <c r="E1" s="4" t="s">
        <v>415</v>
      </c>
      <c r="F1" s="4" t="s">
        <v>4180</v>
      </c>
      <c r="G1" s="4" t="s">
        <v>4181</v>
      </c>
      <c r="H1" s="4" t="s">
        <v>4182</v>
      </c>
    </row>
    <row r="2" customFormat="false" ht="15" hidden="false" customHeight="false" outlineLevel="0" collapsed="false">
      <c r="A2" s="5" t="s">
        <v>4403</v>
      </c>
      <c r="B2" s="5" t="s">
        <v>4404</v>
      </c>
      <c r="C2" s="5" t="s">
        <v>4405</v>
      </c>
      <c r="D2" s="6" t="s">
        <v>4406</v>
      </c>
      <c r="E2" s="5" t="s">
        <v>437</v>
      </c>
      <c r="F2" s="5" t="s">
        <v>4192</v>
      </c>
      <c r="G2" s="5"/>
      <c r="H2" s="5"/>
    </row>
    <row r="3" customFormat="false" ht="15" hidden="false" customHeight="false" outlineLevel="0" collapsed="false">
      <c r="A3" s="5" t="s">
        <v>4403</v>
      </c>
      <c r="B3" s="5" t="s">
        <v>4404</v>
      </c>
      <c r="C3" s="5" t="s">
        <v>4407</v>
      </c>
      <c r="D3" s="6" t="s">
        <v>4408</v>
      </c>
      <c r="E3" s="5" t="s">
        <v>4409</v>
      </c>
      <c r="F3" s="5" t="s">
        <v>4192</v>
      </c>
      <c r="G3" s="5"/>
      <c r="H3" s="5"/>
    </row>
    <row r="4" customFormat="false" ht="15" hidden="false" customHeight="false" outlineLevel="0" collapsed="false">
      <c r="A4" s="5" t="s">
        <v>4403</v>
      </c>
      <c r="B4" s="5" t="s">
        <v>4404</v>
      </c>
      <c r="C4" s="5" t="s">
        <v>4410</v>
      </c>
      <c r="D4" s="6" t="s">
        <v>4406</v>
      </c>
      <c r="E4" s="5" t="s">
        <v>437</v>
      </c>
      <c r="F4" s="5" t="s">
        <v>4192</v>
      </c>
      <c r="G4" s="5"/>
      <c r="H4" s="5"/>
    </row>
    <row r="5" customFormat="false" ht="15" hidden="false" customHeight="false" outlineLevel="0" collapsed="false">
      <c r="A5" s="5" t="s">
        <v>4403</v>
      </c>
      <c r="B5" s="5" t="s">
        <v>4404</v>
      </c>
      <c r="C5" s="5" t="s">
        <v>4411</v>
      </c>
      <c r="D5" s="6" t="s">
        <v>4412</v>
      </c>
      <c r="E5" s="5" t="s">
        <v>437</v>
      </c>
      <c r="F5" s="5" t="s">
        <v>4192</v>
      </c>
      <c r="G5" s="5"/>
      <c r="H5" s="5"/>
    </row>
    <row r="6" customFormat="false" ht="15" hidden="false" customHeight="false" outlineLevel="0" collapsed="false">
      <c r="A6" s="5" t="s">
        <v>4403</v>
      </c>
      <c r="B6" s="5" t="s">
        <v>4404</v>
      </c>
      <c r="C6" s="5" t="s">
        <v>4413</v>
      </c>
      <c r="D6" s="6" t="s">
        <v>4414</v>
      </c>
      <c r="E6" s="5" t="s">
        <v>437</v>
      </c>
      <c r="F6" s="5" t="s">
        <v>4192</v>
      </c>
      <c r="G6" s="5"/>
      <c r="H6" s="5"/>
    </row>
    <row r="7" customFormat="false" ht="15" hidden="false" customHeight="false" outlineLevel="0" collapsed="false">
      <c r="A7" s="5" t="s">
        <v>4403</v>
      </c>
      <c r="B7" s="5" t="s">
        <v>4415</v>
      </c>
      <c r="C7" s="5" t="s">
        <v>4416</v>
      </c>
      <c r="D7" s="6" t="s">
        <v>4417</v>
      </c>
      <c r="E7" s="5" t="s">
        <v>566</v>
      </c>
      <c r="F7" s="5" t="s">
        <v>4192</v>
      </c>
      <c r="G7" s="5"/>
      <c r="H7" s="5"/>
    </row>
    <row r="8" customFormat="false" ht="15" hidden="false" customHeight="false" outlineLevel="0" collapsed="false">
      <c r="A8" s="5" t="s">
        <v>4403</v>
      </c>
      <c r="B8" s="5" t="s">
        <v>4415</v>
      </c>
      <c r="C8" s="5" t="s">
        <v>4418</v>
      </c>
      <c r="D8" s="6" t="s">
        <v>4419</v>
      </c>
      <c r="E8" s="5" t="s">
        <v>437</v>
      </c>
      <c r="F8" s="5" t="s">
        <v>4192</v>
      </c>
      <c r="G8" s="5"/>
      <c r="H8" s="5"/>
    </row>
    <row r="9" customFormat="false" ht="15" hidden="false" customHeight="false" outlineLevel="0" collapsed="false">
      <c r="A9" s="11" t="s">
        <v>4403</v>
      </c>
      <c r="B9" s="11" t="s">
        <v>4415</v>
      </c>
      <c r="C9" s="11" t="s">
        <v>4420</v>
      </c>
      <c r="D9" s="12" t="s">
        <v>4309</v>
      </c>
      <c r="E9" s="11" t="s">
        <v>4233</v>
      </c>
      <c r="F9" s="11" t="s">
        <v>4234</v>
      </c>
      <c r="G9" s="11"/>
      <c r="H9" s="11"/>
    </row>
    <row r="10" customFormat="false" ht="15" hidden="false" customHeight="false" outlineLevel="0" collapsed="false">
      <c r="A10" s="5" t="s">
        <v>4403</v>
      </c>
      <c r="B10" s="5" t="s">
        <v>4415</v>
      </c>
      <c r="C10" s="5" t="s">
        <v>4421</v>
      </c>
      <c r="D10" s="6" t="s">
        <v>4422</v>
      </c>
      <c r="E10" s="5" t="s">
        <v>566</v>
      </c>
      <c r="F10" s="5" t="s">
        <v>4192</v>
      </c>
      <c r="G10" s="5"/>
      <c r="H10" s="5"/>
    </row>
    <row r="11" customFormat="false" ht="15" hidden="false" customHeight="false" outlineLevel="0" collapsed="false">
      <c r="A11" s="5" t="s">
        <v>4403</v>
      </c>
      <c r="B11" s="5" t="s">
        <v>4415</v>
      </c>
      <c r="C11" s="5" t="s">
        <v>4423</v>
      </c>
      <c r="D11" s="6" t="s">
        <v>4424</v>
      </c>
      <c r="E11" s="5" t="s">
        <v>566</v>
      </c>
      <c r="F11" s="5" t="s">
        <v>4192</v>
      </c>
      <c r="G11" s="5"/>
      <c r="H11" s="5"/>
    </row>
    <row r="12" customFormat="false" ht="15" hidden="false" customHeight="false" outlineLevel="0" collapsed="false">
      <c r="A12" s="5" t="s">
        <v>4403</v>
      </c>
      <c r="B12" s="5" t="s">
        <v>4415</v>
      </c>
      <c r="C12" s="5" t="s">
        <v>4425</v>
      </c>
      <c r="D12" s="6" t="s">
        <v>4426</v>
      </c>
      <c r="E12" s="5" t="s">
        <v>509</v>
      </c>
      <c r="F12" s="5" t="s">
        <v>4192</v>
      </c>
      <c r="G12" s="5"/>
      <c r="H12" s="5"/>
    </row>
    <row r="13" customFormat="false" ht="15" hidden="false" customHeight="false" outlineLevel="0" collapsed="false">
      <c r="A13" s="5" t="s">
        <v>4403</v>
      </c>
      <c r="B13" s="5" t="s">
        <v>4415</v>
      </c>
      <c r="C13" s="5" t="s">
        <v>4427</v>
      </c>
      <c r="D13" s="6" t="s">
        <v>4428</v>
      </c>
      <c r="E13" s="5" t="s">
        <v>566</v>
      </c>
      <c r="F13" s="5" t="s">
        <v>4192</v>
      </c>
      <c r="G13" s="5"/>
      <c r="H13" s="5"/>
    </row>
    <row r="14" customFormat="false" ht="15" hidden="false" customHeight="false" outlineLevel="0" collapsed="false">
      <c r="A14" s="5" t="s">
        <v>4403</v>
      </c>
      <c r="B14" s="5" t="s">
        <v>4415</v>
      </c>
      <c r="C14" s="5" t="s">
        <v>4429</v>
      </c>
      <c r="D14" s="6" t="s">
        <v>4430</v>
      </c>
      <c r="E14" s="5" t="s">
        <v>566</v>
      </c>
      <c r="F14" s="5" t="s">
        <v>4192</v>
      </c>
      <c r="G14" s="5"/>
      <c r="H14" s="5"/>
    </row>
    <row r="15" customFormat="false" ht="15" hidden="false" customHeight="false" outlineLevel="0" collapsed="false">
      <c r="A15" s="5" t="s">
        <v>4403</v>
      </c>
      <c r="B15" s="5" t="s">
        <v>4415</v>
      </c>
      <c r="C15" s="5" t="s">
        <v>4431</v>
      </c>
      <c r="D15" s="6" t="s">
        <v>4432</v>
      </c>
      <c r="E15" s="5" t="s">
        <v>566</v>
      </c>
      <c r="F15" s="5" t="s">
        <v>4192</v>
      </c>
      <c r="G15" s="5"/>
      <c r="H15" s="5"/>
    </row>
    <row r="16" customFormat="false" ht="15" hidden="false" customHeight="false" outlineLevel="0" collapsed="false">
      <c r="A16" s="5" t="s">
        <v>4403</v>
      </c>
      <c r="B16" s="5" t="s">
        <v>4415</v>
      </c>
      <c r="C16" s="5" t="s">
        <v>4433</v>
      </c>
      <c r="D16" s="6" t="s">
        <v>4434</v>
      </c>
      <c r="E16" s="5" t="s">
        <v>566</v>
      </c>
      <c r="F16" s="5" t="s">
        <v>4192</v>
      </c>
      <c r="G16" s="5"/>
      <c r="H16" s="5"/>
    </row>
    <row r="17" customFormat="false" ht="15" hidden="false" customHeight="false" outlineLevel="0" collapsed="false">
      <c r="A17" s="5" t="s">
        <v>4403</v>
      </c>
      <c r="B17" s="5" t="s">
        <v>4415</v>
      </c>
      <c r="C17" s="5" t="s">
        <v>4435</v>
      </c>
      <c r="D17" s="6" t="s">
        <v>4436</v>
      </c>
      <c r="E17" s="5" t="s">
        <v>566</v>
      </c>
      <c r="F17" s="5" t="s">
        <v>4192</v>
      </c>
      <c r="G17" s="5"/>
      <c r="H17" s="5"/>
    </row>
    <row r="18" customFormat="false" ht="15" hidden="false" customHeight="false" outlineLevel="0" collapsed="false">
      <c r="A18" s="5" t="s">
        <v>4403</v>
      </c>
      <c r="B18" s="5" t="s">
        <v>4415</v>
      </c>
      <c r="C18" s="5" t="s">
        <v>4437</v>
      </c>
      <c r="D18" s="6" t="s">
        <v>4438</v>
      </c>
      <c r="E18" s="5" t="s">
        <v>437</v>
      </c>
      <c r="F18" s="5" t="s">
        <v>4192</v>
      </c>
      <c r="G18" s="5"/>
      <c r="H18" s="5"/>
    </row>
    <row r="19" customFormat="false" ht="15" hidden="false" customHeight="false" outlineLevel="0" collapsed="false">
      <c r="A19" s="5" t="s">
        <v>4439</v>
      </c>
      <c r="B19" s="5" t="s">
        <v>4440</v>
      </c>
      <c r="C19" s="5" t="s">
        <v>4441</v>
      </c>
      <c r="D19" s="6" t="s">
        <v>4406</v>
      </c>
      <c r="E19" s="5" t="s">
        <v>437</v>
      </c>
      <c r="F19" s="5" t="s">
        <v>4192</v>
      </c>
      <c r="G19" s="5"/>
      <c r="H19" s="5"/>
    </row>
    <row r="20" customFormat="false" ht="15" hidden="false" customHeight="false" outlineLevel="0" collapsed="false">
      <c r="A20" s="5" t="s">
        <v>4439</v>
      </c>
      <c r="B20" s="5" t="s">
        <v>4440</v>
      </c>
      <c r="C20" s="5" t="s">
        <v>4442</v>
      </c>
      <c r="D20" s="6" t="s">
        <v>4443</v>
      </c>
      <c r="E20" s="5" t="s">
        <v>428</v>
      </c>
      <c r="F20" s="5" t="s">
        <v>4192</v>
      </c>
      <c r="G20" s="5"/>
      <c r="H20" s="5"/>
    </row>
    <row r="21" customFormat="false" ht="15" hidden="false" customHeight="false" outlineLevel="0" collapsed="false">
      <c r="A21" s="5" t="s">
        <v>4439</v>
      </c>
      <c r="B21" s="5" t="s">
        <v>4440</v>
      </c>
      <c r="C21" s="5" t="s">
        <v>4444</v>
      </c>
      <c r="D21" s="6" t="s">
        <v>4445</v>
      </c>
      <c r="E21" s="5" t="s">
        <v>437</v>
      </c>
      <c r="F21" s="5" t="s">
        <v>4192</v>
      </c>
      <c r="G21" s="5"/>
      <c r="H21" s="5"/>
    </row>
    <row r="22" customFormat="false" ht="15" hidden="false" customHeight="false" outlineLevel="0" collapsed="false">
      <c r="A22" s="5" t="s">
        <v>4439</v>
      </c>
      <c r="B22" s="5" t="s">
        <v>4440</v>
      </c>
      <c r="C22" s="5" t="s">
        <v>4446</v>
      </c>
      <c r="D22" s="6" t="s">
        <v>4447</v>
      </c>
      <c r="E22" s="5" t="s">
        <v>428</v>
      </c>
      <c r="F22" s="5" t="s">
        <v>4192</v>
      </c>
      <c r="G22" s="5"/>
      <c r="H22" s="5"/>
    </row>
    <row r="23" customFormat="false" ht="15" hidden="false" customHeight="false" outlineLevel="0" collapsed="false">
      <c r="A23" s="5" t="s">
        <v>4439</v>
      </c>
      <c r="B23" s="5" t="s">
        <v>4440</v>
      </c>
      <c r="C23" s="5" t="s">
        <v>4448</v>
      </c>
      <c r="D23" s="6" t="s">
        <v>4449</v>
      </c>
      <c r="E23" s="5" t="s">
        <v>437</v>
      </c>
      <c r="F23" s="5" t="s">
        <v>4192</v>
      </c>
      <c r="G23" s="5"/>
      <c r="H23" s="5"/>
    </row>
    <row r="24" customFormat="false" ht="15" hidden="false" customHeight="false" outlineLevel="0" collapsed="false">
      <c r="A24" s="5" t="s">
        <v>4439</v>
      </c>
      <c r="B24" s="5" t="s">
        <v>4440</v>
      </c>
      <c r="C24" s="5" t="s">
        <v>4450</v>
      </c>
      <c r="D24" s="6" t="s">
        <v>4451</v>
      </c>
      <c r="E24" s="5" t="s">
        <v>437</v>
      </c>
      <c r="F24" s="5" t="s">
        <v>4192</v>
      </c>
      <c r="G24" s="5"/>
      <c r="H24" s="5"/>
    </row>
    <row r="25" customFormat="false" ht="15" hidden="false" customHeight="false" outlineLevel="0" collapsed="false">
      <c r="A25" s="5" t="s">
        <v>4439</v>
      </c>
      <c r="B25" s="5" t="s">
        <v>4440</v>
      </c>
      <c r="C25" s="5" t="s">
        <v>4452</v>
      </c>
      <c r="D25" s="6" t="s">
        <v>4453</v>
      </c>
      <c r="E25" s="5" t="s">
        <v>566</v>
      </c>
      <c r="F25" s="5" t="s">
        <v>4192</v>
      </c>
      <c r="G25" s="5"/>
      <c r="H25" s="5"/>
    </row>
    <row r="26" customFormat="false" ht="15" hidden="false" customHeight="false" outlineLevel="0" collapsed="false">
      <c r="A26" s="5" t="s">
        <v>4439</v>
      </c>
      <c r="B26" s="5" t="s">
        <v>4440</v>
      </c>
      <c r="C26" s="5" t="s">
        <v>4454</v>
      </c>
      <c r="D26" s="6" t="s">
        <v>4455</v>
      </c>
      <c r="E26" s="5" t="s">
        <v>566</v>
      </c>
      <c r="F26" s="5" t="s">
        <v>4192</v>
      </c>
      <c r="G26" s="5"/>
      <c r="H26" s="5"/>
    </row>
    <row r="27" customFormat="false" ht="15" hidden="false" customHeight="false" outlineLevel="0" collapsed="false">
      <c r="A27" s="5" t="s">
        <v>4456</v>
      </c>
      <c r="B27" s="5" t="s">
        <v>4457</v>
      </c>
      <c r="C27" s="5" t="s">
        <v>4458</v>
      </c>
      <c r="D27" s="6" t="s">
        <v>4459</v>
      </c>
      <c r="E27" s="5" t="s">
        <v>509</v>
      </c>
      <c r="F27" s="5" t="s">
        <v>4192</v>
      </c>
      <c r="G27" s="5"/>
      <c r="H27" s="5"/>
    </row>
    <row r="28" customFormat="false" ht="15" hidden="false" customHeight="false" outlineLevel="0" collapsed="false">
      <c r="A28" s="5" t="s">
        <v>4456</v>
      </c>
      <c r="B28" s="5" t="s">
        <v>4457</v>
      </c>
      <c r="C28" s="5" t="s">
        <v>4441</v>
      </c>
      <c r="D28" s="6" t="s">
        <v>4406</v>
      </c>
      <c r="E28" s="5" t="s">
        <v>437</v>
      </c>
      <c r="F28" s="5" t="s">
        <v>4192</v>
      </c>
      <c r="G28" s="5"/>
      <c r="H28" s="5"/>
    </row>
    <row r="29" customFormat="false" ht="15" hidden="false" customHeight="false" outlineLevel="0" collapsed="false">
      <c r="A29" s="5" t="s">
        <v>4456</v>
      </c>
      <c r="B29" s="5" t="s">
        <v>4457</v>
      </c>
      <c r="C29" s="5" t="s">
        <v>4442</v>
      </c>
      <c r="D29" s="6" t="s">
        <v>4443</v>
      </c>
      <c r="E29" s="5" t="s">
        <v>428</v>
      </c>
      <c r="F29" s="5" t="s">
        <v>4192</v>
      </c>
      <c r="G29" s="5"/>
      <c r="H29" s="5"/>
    </row>
    <row r="30" customFormat="false" ht="15" hidden="false" customHeight="false" outlineLevel="0" collapsed="false">
      <c r="A30" s="5" t="s">
        <v>4456</v>
      </c>
      <c r="B30" s="5" t="s">
        <v>4457</v>
      </c>
      <c r="C30" s="5" t="s">
        <v>4460</v>
      </c>
      <c r="D30" s="6" t="s">
        <v>4461</v>
      </c>
      <c r="E30" s="5" t="s">
        <v>4409</v>
      </c>
      <c r="F30" s="5" t="s">
        <v>4192</v>
      </c>
      <c r="G30" s="5"/>
      <c r="H30" s="5"/>
    </row>
    <row r="31" customFormat="false" ht="15" hidden="false" customHeight="false" outlineLevel="0" collapsed="false">
      <c r="A31" s="5" t="s">
        <v>4462</v>
      </c>
      <c r="B31" s="5" t="s">
        <v>4463</v>
      </c>
      <c r="C31" s="5" t="s">
        <v>4464</v>
      </c>
      <c r="D31" s="6" t="s">
        <v>4465</v>
      </c>
      <c r="E31" s="5" t="s">
        <v>437</v>
      </c>
      <c r="F31" s="5" t="s">
        <v>4192</v>
      </c>
      <c r="G31" s="5"/>
      <c r="H31" s="5"/>
    </row>
    <row r="32" customFormat="false" ht="15" hidden="false" customHeight="false" outlineLevel="0" collapsed="false">
      <c r="A32" s="5" t="s">
        <v>4462</v>
      </c>
      <c r="B32" s="5" t="s">
        <v>4463</v>
      </c>
      <c r="C32" s="5" t="s">
        <v>4466</v>
      </c>
      <c r="D32" s="6" t="s">
        <v>4467</v>
      </c>
      <c r="E32" s="5" t="s">
        <v>437</v>
      </c>
      <c r="F32" s="5" t="s">
        <v>4192</v>
      </c>
      <c r="G32" s="5"/>
      <c r="H32" s="5"/>
    </row>
    <row r="33" customFormat="false" ht="15" hidden="false" customHeight="false" outlineLevel="0" collapsed="false">
      <c r="A33" s="5" t="s">
        <v>4462</v>
      </c>
      <c r="B33" s="5" t="s">
        <v>4468</v>
      </c>
      <c r="C33" s="5" t="s">
        <v>4469</v>
      </c>
      <c r="D33" s="6" t="s">
        <v>4470</v>
      </c>
      <c r="E33" s="5" t="s">
        <v>428</v>
      </c>
      <c r="F33" s="5" t="s">
        <v>4192</v>
      </c>
      <c r="G33" s="5"/>
      <c r="H33" s="5"/>
    </row>
    <row r="34" customFormat="false" ht="15" hidden="false" customHeight="false" outlineLevel="0" collapsed="false">
      <c r="A34" s="5" t="s">
        <v>4462</v>
      </c>
      <c r="B34" s="5" t="s">
        <v>4468</v>
      </c>
      <c r="C34" s="5" t="s">
        <v>4471</v>
      </c>
      <c r="D34" s="6" t="s">
        <v>4443</v>
      </c>
      <c r="E34" s="5" t="s">
        <v>428</v>
      </c>
      <c r="F34" s="5" t="s">
        <v>4192</v>
      </c>
      <c r="G34" s="5"/>
      <c r="H34" s="5"/>
    </row>
    <row r="35" customFormat="false" ht="15" hidden="false" customHeight="false" outlineLevel="0" collapsed="false">
      <c r="A35" s="11" t="s">
        <v>4462</v>
      </c>
      <c r="B35" s="11" t="s">
        <v>4468</v>
      </c>
      <c r="C35" s="11" t="s">
        <v>4472</v>
      </c>
      <c r="D35" s="12" t="s">
        <v>4309</v>
      </c>
      <c r="E35" s="11" t="s">
        <v>4233</v>
      </c>
      <c r="F35" s="11" t="s">
        <v>4234</v>
      </c>
      <c r="G35" s="11"/>
      <c r="H35" s="11"/>
    </row>
    <row r="36" customFormat="false" ht="15" hidden="false" customHeight="false" outlineLevel="0" collapsed="false">
      <c r="A36" s="5" t="s">
        <v>4462</v>
      </c>
      <c r="B36" s="5" t="s">
        <v>4473</v>
      </c>
      <c r="C36" s="5" t="s">
        <v>4474</v>
      </c>
      <c r="D36" s="6" t="s">
        <v>4475</v>
      </c>
      <c r="E36" s="5" t="s">
        <v>509</v>
      </c>
      <c r="F36" s="5" t="s">
        <v>4192</v>
      </c>
      <c r="G36" s="5"/>
      <c r="H36" s="5"/>
    </row>
    <row r="37" customFormat="false" ht="15" hidden="false" customHeight="false" outlineLevel="0" collapsed="false">
      <c r="A37" s="5" t="s">
        <v>4462</v>
      </c>
      <c r="B37" s="5" t="s">
        <v>4473</v>
      </c>
      <c r="C37" s="5" t="s">
        <v>4476</v>
      </c>
      <c r="D37" s="6" t="s">
        <v>4477</v>
      </c>
      <c r="E37" s="5" t="s">
        <v>4478</v>
      </c>
      <c r="F37" s="5" t="s">
        <v>4192</v>
      </c>
      <c r="G37" s="5"/>
      <c r="H37" s="5"/>
    </row>
    <row r="38" customFormat="false" ht="15" hidden="false" customHeight="false" outlineLevel="0" collapsed="false">
      <c r="A38" s="5" t="s">
        <v>4462</v>
      </c>
      <c r="B38" s="5" t="s">
        <v>4479</v>
      </c>
      <c r="C38" s="5" t="s">
        <v>4480</v>
      </c>
      <c r="D38" s="6" t="s">
        <v>4481</v>
      </c>
      <c r="E38" s="5" t="s">
        <v>4409</v>
      </c>
      <c r="F38" s="5" t="s">
        <v>4192</v>
      </c>
      <c r="G38" s="5"/>
      <c r="H38" s="5"/>
    </row>
    <row r="39" customFormat="false" ht="15" hidden="false" customHeight="false" outlineLevel="0" collapsed="false">
      <c r="A39" s="5" t="s">
        <v>4462</v>
      </c>
      <c r="B39" s="5" t="s">
        <v>4479</v>
      </c>
      <c r="C39" s="5" t="s">
        <v>4482</v>
      </c>
      <c r="D39" s="6" t="s">
        <v>4483</v>
      </c>
      <c r="E39" s="5" t="s">
        <v>566</v>
      </c>
      <c r="F39" s="5" t="s">
        <v>4192</v>
      </c>
      <c r="G39" s="5"/>
      <c r="H39" s="5"/>
    </row>
    <row r="40" customFormat="false" ht="15" hidden="false" customHeight="false" outlineLevel="0" collapsed="false">
      <c r="A40" s="5" t="s">
        <v>4462</v>
      </c>
      <c r="B40" s="5" t="s">
        <v>4479</v>
      </c>
      <c r="C40" s="5" t="s">
        <v>4484</v>
      </c>
      <c r="D40" s="6" t="s">
        <v>4485</v>
      </c>
      <c r="E40" s="5" t="s">
        <v>437</v>
      </c>
      <c r="F40" s="5" t="s">
        <v>4192</v>
      </c>
      <c r="G40" s="5"/>
      <c r="H40" s="5"/>
    </row>
    <row r="41" customFormat="false" ht="15" hidden="false" customHeight="false" outlineLevel="0" collapsed="false">
      <c r="A41" s="5" t="s">
        <v>4462</v>
      </c>
      <c r="B41" s="5" t="s">
        <v>4479</v>
      </c>
      <c r="C41" s="5" t="s">
        <v>4486</v>
      </c>
      <c r="D41" s="6" t="s">
        <v>4487</v>
      </c>
      <c r="E41" s="5" t="s">
        <v>566</v>
      </c>
      <c r="F41" s="5" t="s">
        <v>4192</v>
      </c>
      <c r="G41" s="5"/>
      <c r="H41" s="5"/>
    </row>
    <row r="42" customFormat="false" ht="15" hidden="false" customHeight="false" outlineLevel="0" collapsed="false">
      <c r="A42" s="5" t="s">
        <v>4462</v>
      </c>
      <c r="B42" s="5" t="s">
        <v>4488</v>
      </c>
      <c r="C42" s="5" t="s">
        <v>4489</v>
      </c>
      <c r="D42" s="6" t="s">
        <v>4490</v>
      </c>
      <c r="E42" s="5" t="s">
        <v>509</v>
      </c>
      <c r="F42" s="5" t="s">
        <v>4192</v>
      </c>
      <c r="G42" s="5"/>
      <c r="H42" s="5"/>
    </row>
    <row r="43" customFormat="false" ht="15" hidden="false" customHeight="false" outlineLevel="0" collapsed="false">
      <c r="A43" s="5" t="s">
        <v>4462</v>
      </c>
      <c r="B43" s="5" t="s">
        <v>4488</v>
      </c>
      <c r="C43" s="5" t="s">
        <v>4491</v>
      </c>
      <c r="D43" s="6" t="s">
        <v>4492</v>
      </c>
      <c r="E43" s="5" t="s">
        <v>566</v>
      </c>
      <c r="F43" s="5" t="s">
        <v>4192</v>
      </c>
      <c r="G43" s="5"/>
      <c r="H43" s="5"/>
    </row>
    <row r="44" customFormat="false" ht="15" hidden="false" customHeight="false" outlineLevel="0" collapsed="false">
      <c r="A44" s="5" t="s">
        <v>4462</v>
      </c>
      <c r="B44" s="5" t="s">
        <v>4488</v>
      </c>
      <c r="C44" s="5" t="s">
        <v>4493</v>
      </c>
      <c r="D44" s="6" t="s">
        <v>4494</v>
      </c>
      <c r="E44" s="5" t="s">
        <v>4478</v>
      </c>
      <c r="F44" s="5" t="s">
        <v>4192</v>
      </c>
      <c r="G44" s="5"/>
      <c r="H44" s="5"/>
    </row>
    <row r="46" customFormat="false" ht="15" hidden="false" customHeight="false" outlineLevel="0" collapsed="false">
      <c r="A46" s="15" t="s">
        <v>4271</v>
      </c>
    </row>
    <row r="47" customFormat="false" ht="32.8" hidden="false" customHeight="false" outlineLevel="0" collapsed="false">
      <c r="A47" s="16" t="s">
        <v>4495</v>
      </c>
      <c r="B47" s="16"/>
      <c r="C47" s="16"/>
      <c r="D47" s="17" t="s">
        <v>4430</v>
      </c>
      <c r="G47" s="18" t="s">
        <v>374</v>
      </c>
    </row>
    <row r="48" customFormat="false" ht="32.8" hidden="false" customHeight="false" outlineLevel="0" collapsed="false">
      <c r="A48" s="16" t="s">
        <v>4496</v>
      </c>
      <c r="B48" s="16"/>
      <c r="C48" s="16"/>
      <c r="D48" s="17" t="s">
        <v>4453</v>
      </c>
      <c r="G48" s="18" t="s">
        <v>4497</v>
      </c>
    </row>
    <row r="49" customFormat="false" ht="32.8" hidden="false" customHeight="false" outlineLevel="0" collapsed="false">
      <c r="A49" s="16" t="s">
        <v>4498</v>
      </c>
      <c r="B49" s="16"/>
      <c r="C49" s="16"/>
      <c r="D49" s="17" t="s">
        <v>4499</v>
      </c>
      <c r="G49" s="18" t="s">
        <v>4500</v>
      </c>
    </row>
    <row r="50" customFormat="false" ht="22.35" hidden="false" customHeight="false" outlineLevel="0" collapsed="false">
      <c r="A50" s="16" t="s">
        <v>4501</v>
      </c>
      <c r="B50" s="16"/>
      <c r="C50" s="16"/>
      <c r="D50" s="17" t="s">
        <v>4443</v>
      </c>
      <c r="G50" s="18" t="s">
        <v>4502</v>
      </c>
    </row>
  </sheetData>
  <autoFilter ref="A1:H44"/>
  <mergeCells count="4">
    <mergeCell ref="A47:C47"/>
    <mergeCell ref="A48:C48"/>
    <mergeCell ref="A49:C49"/>
    <mergeCell ref="A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4503</v>
      </c>
      <c r="B1" s="4" t="s">
        <v>377</v>
      </c>
    </row>
    <row r="2" customFormat="false" ht="15" hidden="false" customHeight="false" outlineLevel="0" collapsed="false">
      <c r="A2" s="5" t="s">
        <v>4504</v>
      </c>
      <c r="B2" s="5" t="s">
        <v>4505</v>
      </c>
    </row>
    <row r="3" customFormat="false" ht="15" hidden="false" customHeight="false" outlineLevel="0" collapsed="false">
      <c r="A3" s="5" t="s">
        <v>4506</v>
      </c>
      <c r="B3" s="5" t="s">
        <v>4507</v>
      </c>
    </row>
    <row r="4" customFormat="false" ht="15" hidden="false" customHeight="false" outlineLevel="0" collapsed="false">
      <c r="A4" s="5" t="s">
        <v>4508</v>
      </c>
      <c r="B4" s="5" t="s">
        <v>4509</v>
      </c>
    </row>
    <row r="5" customFormat="false" ht="15" hidden="false" customHeight="false" outlineLevel="0" collapsed="false">
      <c r="A5" s="5" t="s">
        <v>4510</v>
      </c>
      <c r="B5" s="5" t="s">
        <v>4511</v>
      </c>
    </row>
    <row r="6" customFormat="false" ht="15" hidden="false" customHeight="false" outlineLevel="0" collapsed="false">
      <c r="A6" s="5" t="s">
        <v>4512</v>
      </c>
      <c r="B6" s="5" t="s">
        <v>4513</v>
      </c>
    </row>
    <row r="7" customFormat="false" ht="15" hidden="false" customHeight="false" outlineLevel="0" collapsed="false">
      <c r="A7" s="5" t="s">
        <v>4514</v>
      </c>
      <c r="B7" s="5" t="s">
        <v>4515</v>
      </c>
    </row>
    <row r="8" customFormat="false" ht="15" hidden="false" customHeight="false" outlineLevel="0" collapsed="false">
      <c r="A8" s="5" t="s">
        <v>4516</v>
      </c>
      <c r="B8" s="5" t="s">
        <v>4517</v>
      </c>
    </row>
    <row r="9" customFormat="false" ht="15" hidden="false" customHeight="false" outlineLevel="0" collapsed="false">
      <c r="A9" s="5" t="s">
        <v>4352</v>
      </c>
      <c r="B9" s="5" t="s">
        <v>4518</v>
      </c>
    </row>
    <row r="10" customFormat="false" ht="15" hidden="false" customHeight="false" outlineLevel="0" collapsed="false">
      <c r="A10" s="5" t="s">
        <v>4519</v>
      </c>
      <c r="B10" s="5" t="s">
        <v>4520</v>
      </c>
    </row>
    <row r="11" customFormat="false" ht="23.85" hidden="false" customHeight="false" outlineLevel="0" collapsed="false">
      <c r="A11" s="5" t="s">
        <v>4521</v>
      </c>
      <c r="B11" s="5" t="s">
        <v>4522</v>
      </c>
    </row>
    <row r="12" customFormat="false" ht="15" hidden="false" customHeight="false" outlineLevel="0" collapsed="false">
      <c r="A12" s="5" t="s">
        <v>4523</v>
      </c>
      <c r="B12" s="5" t="s">
        <v>4524</v>
      </c>
    </row>
    <row r="13" customFormat="false" ht="15" hidden="false" customHeight="false" outlineLevel="0" collapsed="false">
      <c r="A13" s="5" t="s">
        <v>4525</v>
      </c>
      <c r="B13" s="5" t="s">
        <v>4526</v>
      </c>
    </row>
    <row r="14" customFormat="false" ht="15" hidden="false" customHeight="false" outlineLevel="0" collapsed="false">
      <c r="A14" s="5" t="s">
        <v>4527</v>
      </c>
      <c r="B14" s="5" t="s">
        <v>4528</v>
      </c>
    </row>
    <row r="15" customFormat="false" ht="15" hidden="false" customHeight="false" outlineLevel="0" collapsed="false">
      <c r="A15" s="5" t="s">
        <v>4529</v>
      </c>
      <c r="B15" s="5" t="s">
        <v>4530</v>
      </c>
    </row>
  </sheetData>
  <autoFilter ref="A1:B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4" t="s">
        <v>4531</v>
      </c>
      <c r="B1" s="4" t="s">
        <v>4532</v>
      </c>
    </row>
    <row r="2" customFormat="false" ht="15" hidden="false" customHeight="false" outlineLevel="0" collapsed="false">
      <c r="A2" s="5" t="s">
        <v>4533</v>
      </c>
      <c r="B2" s="5" t="n">
        <v>822</v>
      </c>
    </row>
    <row r="3" customFormat="false" ht="15" hidden="false" customHeight="false" outlineLevel="0" collapsed="false">
      <c r="A3" s="5" t="s">
        <v>3212</v>
      </c>
      <c r="B3" s="5" t="n">
        <v>240</v>
      </c>
    </row>
    <row r="4" customFormat="false" ht="15" hidden="false" customHeight="false" outlineLevel="0" collapsed="false">
      <c r="A4" s="5" t="s">
        <v>3224</v>
      </c>
      <c r="B4" s="5" t="n">
        <v>158</v>
      </c>
    </row>
    <row r="5" customFormat="false" ht="15" hidden="false" customHeight="false" outlineLevel="0" collapsed="false">
      <c r="A5" s="5" t="s">
        <v>3297</v>
      </c>
      <c r="B5" s="5" t="n">
        <v>96</v>
      </c>
    </row>
    <row r="6" customFormat="false" ht="15" hidden="false" customHeight="false" outlineLevel="0" collapsed="false">
      <c r="A6" s="5" t="s">
        <v>3282</v>
      </c>
      <c r="B6" s="5" t="n">
        <v>95</v>
      </c>
    </row>
    <row r="7" customFormat="false" ht="15" hidden="false" customHeight="false" outlineLevel="0" collapsed="false">
      <c r="A7" s="5" t="s">
        <v>3252</v>
      </c>
      <c r="B7" s="5" t="n">
        <v>82</v>
      </c>
    </row>
    <row r="8" customFormat="false" ht="15" hidden="false" customHeight="false" outlineLevel="0" collapsed="false">
      <c r="A8" s="5" t="s">
        <v>3237</v>
      </c>
      <c r="B8" s="5" t="n">
        <v>64</v>
      </c>
    </row>
    <row r="9" customFormat="false" ht="15" hidden="false" customHeight="false" outlineLevel="0" collapsed="false">
      <c r="A9" s="5" t="s">
        <v>3249</v>
      </c>
      <c r="B9" s="5" t="n">
        <v>59</v>
      </c>
    </row>
    <row r="10" customFormat="false" ht="15" hidden="false" customHeight="false" outlineLevel="0" collapsed="false">
      <c r="A10" s="5" t="s">
        <v>3293</v>
      </c>
      <c r="B10" s="5" t="n">
        <v>34</v>
      </c>
    </row>
    <row r="11" customFormat="false" ht="15" hidden="false" customHeight="false" outlineLevel="0" collapsed="false">
      <c r="A11" s="5" t="s">
        <v>3251</v>
      </c>
      <c r="B11" s="5" t="n">
        <v>32</v>
      </c>
    </row>
    <row r="12" customFormat="false" ht="15" hidden="false" customHeight="false" outlineLevel="0" collapsed="false">
      <c r="A12" s="5" t="s">
        <v>3254</v>
      </c>
      <c r="B12" s="5" t="n">
        <v>29</v>
      </c>
    </row>
    <row r="13" customFormat="false" ht="15" hidden="false" customHeight="false" outlineLevel="0" collapsed="false">
      <c r="A13" s="5" t="s">
        <v>3218</v>
      </c>
      <c r="B13" s="5" t="n">
        <v>28</v>
      </c>
    </row>
    <row r="14" customFormat="false" ht="15" hidden="false" customHeight="false" outlineLevel="0" collapsed="false">
      <c r="A14" s="5" t="s">
        <v>3229</v>
      </c>
      <c r="B14" s="5" t="n">
        <v>27</v>
      </c>
    </row>
    <row r="15" customFormat="false" ht="15" hidden="false" customHeight="false" outlineLevel="0" collapsed="false">
      <c r="A15" s="5" t="s">
        <v>3245</v>
      </c>
      <c r="B15" s="5" t="n">
        <v>25</v>
      </c>
    </row>
    <row r="16" customFormat="false" ht="15" hidden="false" customHeight="false" outlineLevel="0" collapsed="false">
      <c r="A16" s="5" t="s">
        <v>3286</v>
      </c>
      <c r="B16" s="5" t="n">
        <v>21</v>
      </c>
    </row>
    <row r="17" customFormat="false" ht="15" hidden="false" customHeight="false" outlineLevel="0" collapsed="false">
      <c r="A17" s="5" t="s">
        <v>4534</v>
      </c>
      <c r="B17" s="5" t="n">
        <v>21</v>
      </c>
    </row>
    <row r="18" customFormat="false" ht="15" hidden="false" customHeight="false" outlineLevel="0" collapsed="false">
      <c r="A18" s="5" t="s">
        <v>3276</v>
      </c>
      <c r="B18" s="5" t="n">
        <v>18</v>
      </c>
    </row>
    <row r="19" customFormat="false" ht="15" hidden="false" customHeight="false" outlineLevel="0" collapsed="false">
      <c r="A19" s="5" t="s">
        <v>4535</v>
      </c>
      <c r="B19" s="5" t="n">
        <v>16</v>
      </c>
    </row>
    <row r="20" customFormat="false" ht="15" hidden="false" customHeight="false" outlineLevel="0" collapsed="false">
      <c r="A20" s="5" t="s">
        <v>3284</v>
      </c>
      <c r="B20" s="5" t="n">
        <v>15</v>
      </c>
    </row>
    <row r="21" customFormat="false" ht="15" hidden="false" customHeight="false" outlineLevel="0" collapsed="false">
      <c r="A21" s="5" t="s">
        <v>3256</v>
      </c>
      <c r="B21" s="5" t="n">
        <v>14</v>
      </c>
    </row>
    <row r="22" customFormat="false" ht="15" hidden="false" customHeight="false" outlineLevel="0" collapsed="false">
      <c r="A22" s="5" t="s">
        <v>3241</v>
      </c>
      <c r="B22" s="5" t="n">
        <v>13</v>
      </c>
    </row>
    <row r="23" customFormat="false" ht="15" hidden="false" customHeight="false" outlineLevel="0" collapsed="false">
      <c r="A23" s="5" t="s">
        <v>3220</v>
      </c>
      <c r="B23" s="5" t="n">
        <v>10</v>
      </c>
    </row>
    <row r="24" customFormat="false" ht="15" hidden="false" customHeight="false" outlineLevel="0" collapsed="false">
      <c r="A24" s="5" t="s">
        <v>3222</v>
      </c>
      <c r="B24" s="5" t="n">
        <v>9</v>
      </c>
    </row>
    <row r="25" customFormat="false" ht="15" hidden="false" customHeight="false" outlineLevel="0" collapsed="false">
      <c r="A25" s="5" t="s">
        <v>3291</v>
      </c>
      <c r="B25" s="5" t="n">
        <v>6</v>
      </c>
    </row>
    <row r="26" customFormat="false" ht="15" hidden="false" customHeight="false" outlineLevel="0" collapsed="false">
      <c r="A26" s="5" t="s">
        <v>3235</v>
      </c>
      <c r="B26" s="5" t="n">
        <v>5</v>
      </c>
    </row>
    <row r="27" customFormat="false" ht="15" hidden="false" customHeight="false" outlineLevel="0" collapsed="false">
      <c r="A27" s="5" t="s">
        <v>3274</v>
      </c>
      <c r="B27" s="5" t="n">
        <v>4</v>
      </c>
    </row>
    <row r="28" customFormat="false" ht="15" hidden="false" customHeight="false" outlineLevel="0" collapsed="false">
      <c r="A28" s="5" t="s">
        <v>3214</v>
      </c>
      <c r="B28" s="5" t="n">
        <v>3</v>
      </c>
    </row>
    <row r="29" customFormat="false" ht="15" hidden="false" customHeight="false" outlineLevel="0" collapsed="false">
      <c r="A29" s="5" t="s">
        <v>3239</v>
      </c>
      <c r="B29" s="5" t="n">
        <v>3</v>
      </c>
    </row>
    <row r="30" customFormat="false" ht="15" hidden="false" customHeight="false" outlineLevel="0" collapsed="false">
      <c r="A30" s="5" t="s">
        <v>3216</v>
      </c>
      <c r="B30" s="5" t="n">
        <v>2</v>
      </c>
    </row>
    <row r="31" customFormat="false" ht="15" hidden="false" customHeight="false" outlineLevel="0" collapsed="false">
      <c r="A31" s="5" t="s">
        <v>3233</v>
      </c>
      <c r="B31" s="5" t="n">
        <v>2</v>
      </c>
    </row>
    <row r="32" customFormat="false" ht="15" hidden="false" customHeight="false" outlineLevel="0" collapsed="false">
      <c r="A32" s="5" t="s">
        <v>3280</v>
      </c>
      <c r="B32" s="5" t="n">
        <v>2</v>
      </c>
    </row>
    <row r="33" customFormat="false" ht="15" hidden="false" customHeight="false" outlineLevel="0" collapsed="false">
      <c r="A33" s="5" t="s">
        <v>3272</v>
      </c>
      <c r="B33" s="5" t="n">
        <v>1</v>
      </c>
    </row>
    <row r="34" customFormat="false" ht="15" hidden="false" customHeight="false" outlineLevel="0" collapsed="false">
      <c r="A34" s="5" t="s">
        <v>3295</v>
      </c>
      <c r="B34" s="5" t="n">
        <v>1</v>
      </c>
    </row>
    <row r="35" customFormat="false" ht="15" hidden="false" customHeight="false" outlineLevel="0" collapsed="false">
      <c r="A35" s="5" t="s">
        <v>3268</v>
      </c>
      <c r="B35" s="5" t="n">
        <v>1</v>
      </c>
    </row>
    <row r="36" customFormat="false" ht="15" hidden="false" customHeight="false" outlineLevel="0" collapsed="false">
      <c r="A36" s="5" t="s">
        <v>3270</v>
      </c>
      <c r="B36" s="5" t="n">
        <v>1</v>
      </c>
    </row>
    <row r="37" customFormat="false" ht="15" hidden="false" customHeight="false" outlineLevel="0" collapsed="false">
      <c r="A37" s="5" t="s">
        <v>3243</v>
      </c>
      <c r="B37" s="5" t="n">
        <v>1</v>
      </c>
    </row>
    <row r="39" customFormat="false" ht="15" hidden="false" customHeight="false" outlineLevel="0" collapsed="false">
      <c r="A39" s="15" t="s">
        <v>4536</v>
      </c>
      <c r="B39" s="15" t="n">
        <f aca="false">SUM(B2:B37)</f>
        <v>1960</v>
      </c>
    </row>
    <row r="40" customFormat="false" ht="15" hidden="false" customHeight="false" outlineLevel="0" collapsed="false">
      <c r="A40" s="15" t="s">
        <v>4537</v>
      </c>
      <c r="B40" s="19" t="n">
        <f aca="false">B2/B39</f>
        <v>0.419387755102041</v>
      </c>
    </row>
    <row r="41" customFormat="false" ht="15" hidden="false" customHeight="false" outlineLevel="0" collapsed="false">
      <c r="A41" s="20" t="s">
        <v>4538</v>
      </c>
    </row>
  </sheetData>
  <autoFilter ref="A1:B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4" t="s">
        <v>4539</v>
      </c>
      <c r="B1" s="4" t="s">
        <v>4540</v>
      </c>
      <c r="C1" s="4" t="s">
        <v>622</v>
      </c>
    </row>
    <row r="2" customFormat="false" ht="22.35" hidden="false" customHeight="false" outlineLevel="0" collapsed="false">
      <c r="A2" s="6" t="s">
        <v>4541</v>
      </c>
      <c r="B2" s="5" t="s">
        <v>4542</v>
      </c>
      <c r="C2" s="5" t="s">
        <v>4543</v>
      </c>
    </row>
    <row r="3" customFormat="false" ht="23.85" hidden="false" customHeight="false" outlineLevel="0" collapsed="false">
      <c r="A3" s="6" t="s">
        <v>4544</v>
      </c>
      <c r="B3" s="5" t="s">
        <v>4545</v>
      </c>
      <c r="C3" s="5" t="s">
        <v>4543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2026-09-14T09:16:59Z</dcterms:created>
  <dc:creator>openpyxl</dc:creator>
  <dc:description/>
  <dc:language>en-US</dc:language>
  <cp:lastModifiedBy/>
  <dcterms:modified xsi:type="dcterms:W3CDTF">2026-09-14T09:17:00Z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