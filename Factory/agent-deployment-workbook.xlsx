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aobama\Documents\AnthonySalesOps\Codebase\HubSpot-Ruler\Factory\"/>
    </mc:Choice>
  </mc:AlternateContent>
  <xr:revisionPtr revIDLastSave="0" documentId="8_{500A78CB-1383-4E7F-9827-3E0101F96B9B}" xr6:coauthVersionLast="47" xr6:coauthVersionMax="47" xr10:uidLastSave="{00000000-0000-0000-0000-000000000000}"/>
  <bookViews>
    <workbookView xWindow="14460" yWindow="-16320" windowWidth="29040" windowHeight="15720" tabRatio="500" activeTab="4" xr2:uid="{00000000-000D-0000-FFFF-FFFF00000000}"/>
  </bookViews>
  <sheets>
    <sheet name="Overview" sheetId="1" r:id="rId1"/>
    <sheet name="0-Prerequisites" sheetId="2" r:id="rId2"/>
    <sheet name="1-VPS-Provision" sheetId="3" r:id="rId3"/>
    <sheet name="2-Hermes-Install" sheetId="4" r:id="rId4"/>
    <sheet name="3-Stack-Config" sheetId="5" r:id="rId5"/>
    <sheet name="4-TLS-Caddy" sheetId="6" r:id="rId6"/>
    <sheet name="5-HubSpot-Interop" sheetId="7" r:id="rId7"/>
    <sheet name="6-Agent-Seed" sheetId="8" r:id="rId8"/>
    <sheet name="7-Validation" sheetId="9" r:id="rId9"/>
    <sheet name="8-Prod-Cutover" sheetId="10" r:id="rId10"/>
    <sheet name="9-Operatio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1" l="1"/>
  <c r="D21" i="1"/>
  <c r="F21" i="1" s="1"/>
  <c r="E20" i="1"/>
  <c r="D20" i="1"/>
  <c r="F20" i="1" s="1"/>
  <c r="E19" i="1"/>
  <c r="D19" i="1"/>
  <c r="F19" i="1" s="1"/>
  <c r="E18" i="1"/>
  <c r="D18" i="1"/>
  <c r="F18" i="1" s="1"/>
  <c r="E17" i="1"/>
  <c r="D17" i="1"/>
  <c r="F17" i="1" s="1"/>
  <c r="E16" i="1"/>
  <c r="D16" i="1"/>
  <c r="F16" i="1" s="1"/>
  <c r="E15" i="1"/>
  <c r="D15" i="1"/>
  <c r="F15" i="1" s="1"/>
  <c r="E14" i="1"/>
  <c r="D14" i="1"/>
  <c r="F14" i="1" s="1"/>
  <c r="E13" i="1"/>
  <c r="F13" i="1" s="1"/>
  <c r="D13" i="1"/>
  <c r="E12" i="1"/>
  <c r="F12" i="1" s="1"/>
  <c r="D12" i="1"/>
  <c r="D22" i="1" l="1"/>
  <c r="F22" i="1" s="1"/>
  <c r="E22" i="1"/>
</calcChain>
</file>

<file path=xl/sharedStrings.xml><?xml version="1.0" encoding="utf-8"?>
<sst xmlns="http://schemas.openxmlformats.org/spreadsheetml/2006/main" count="747" uniqueCount="490">
  <si>
    <t>Hermes Agent — deployment &amp; execution workbook</t>
  </si>
  <si>
    <t>One sheet per execution-layer phase (mirrors hermes-agent/README.md). Rows are the action sequence; each names its expected input, example value, input source and verification. Complete phases in order — a phase starts only after the previous one's verifications pass.</t>
  </si>
  <si>
    <t>Locked decisions (2026-07-13, docs/SCOPING.md): trigger = workflow-action component | brain = Anthropic API | scraping = zero-auth t.me/s/ web preview first | HubSpot = dedicated private app, sandbox 49610528 before prod 9201667.</t>
  </si>
  <si>
    <t>How to use / legend</t>
  </si>
  <si>
    <t>Yellow cells</t>
  </si>
  <si>
    <t>The ONLY cells to edit on the phase sheets: column H 'Your value (fill in)' and column I 'Status'.</t>
  </si>
  <si>
    <t>Your value</t>
  </si>
  <si>
    <t>Record the actual value you used for that action's expected input (never paste secrets — write where the secret is stored, e.g. 'in /opt/hermes-stack/.env').</t>
  </si>
  <si>
    <t>Status</t>
  </si>
  <si>
    <t>Pick TODO / DONE / N/A from the dropdown. DONE only after the row's verification passed.</t>
  </si>
  <si>
    <t>Example row</t>
  </si>
  <si>
    <t>e.g. input 'BRIDGE_PUBLIC_BASE_URL' -&gt; Your value: 'https://agent.icalps.ch' | Status: DONE</t>
  </si>
  <si>
    <t>Phase</t>
  </si>
  <si>
    <t>Sheet</t>
  </si>
  <si>
    <t>Execution layer</t>
  </si>
  <si>
    <t>Actions</t>
  </si>
  <si>
    <t>Done</t>
  </si>
  <si>
    <t>Progress</t>
  </si>
  <si>
    <t>0-Prerequisites</t>
  </si>
  <si>
    <t>none yet — collect every input before touching the VPS (README Phase 0)</t>
  </si>
  <si>
    <t>1-VPS-Provision</t>
  </si>
  <si>
    <t>hermes-agent/provision/setup-vps.sh (idempotent; installs companion stack to /opt/hermes-stack)</t>
  </si>
  <si>
    <t>2-Hermes-Install</t>
  </si>
  <si>
    <t>Nous Research official installer + hermes CLI (interactive wizard; workspace ~/.hermes)</t>
  </si>
  <si>
    <t>3-Stack-Config</t>
  </si>
  <si>
    <t>/opt/hermes-stack/.env + /opt/hermes-stack/scraper/sources.yaml, then first service start</t>
  </si>
  <si>
    <t>4-TLS-Caddy</t>
  </si>
  <si>
    <t>provision/Caddyfile -&gt; /etc/caddy/Caddyfile (public edge; bridge stays on loopback)</t>
  </si>
  <si>
    <t>5-HubSpot-Interop</t>
  </si>
  <si>
    <t>HubSpot private-app UI + hubspot/workflow-action/hermes-trigger-hsmeta.json + hs CLI</t>
  </si>
  <si>
    <t>6-Agent-Seed</t>
  </si>
  <si>
    <t>skills/revops/ -&gt; ~/.hermes/skills/ + hermes cron/webhook CLI</t>
  </si>
  <si>
    <t>7-Validation</t>
  </si>
  <si>
    <t>signed/unsigned curl + systemctl + a live sandbox workflow enrollment (sign-off record)</t>
  </si>
  <si>
    <t>8-Prod-Cutover</t>
  </si>
  <si>
    <t>prod private app + .env swap + hs project upload against prod (only after Phase 7 is fully green)</t>
  </si>
  <si>
    <t>9-Operations</t>
  </si>
  <si>
    <t>systemd/journalctl + hermes CLI + .env rotations (recurring; no fixed sequence)</t>
  </si>
  <si>
    <t>TOTAL</t>
  </si>
  <si>
    <t>Phase 0 — Prerequisites (inputs inventory)</t>
  </si>
  <si>
    <t>Execution layer: none yet — collect every input before touching the VPS (README Phase 0)</t>
  </si>
  <si>
    <t>Step</t>
  </si>
  <si>
    <t>Action</t>
  </si>
  <si>
    <t>Command / UI path</t>
  </si>
  <si>
    <t>Expected input (name &amp; format)</t>
  </si>
  <si>
    <t>Example value</t>
  </si>
  <si>
    <t>Input source</t>
  </si>
  <si>
    <t>Verification / expected output</t>
  </si>
  <si>
    <t>Your value (fill in)</t>
  </si>
  <si>
    <t>Notes</t>
  </si>
  <si>
    <t>Order/confirm the VPS</t>
  </si>
  <si>
    <t>Hosting provider console (guide baseline: Hostinger KVM2)</t>
  </si>
  <si>
    <t>VPS spec + root SSH access</t>
  </si>
  <si>
    <t>Ubuntu 24.04, 2 vCPU / 8 GB RAM, root key</t>
  </si>
  <si>
    <t>Hosting provider</t>
  </si>
  <si>
    <t>ssh root@&lt;vps-ip&gt; logs in; lsb_release -a shows Ubuntu 22.04/24.04</t>
  </si>
  <si>
    <t>TODO</t>
  </si>
  <si>
    <t>Bare install, NO Docker — the harness needs direct filesystem + terminal access</t>
  </si>
  <si>
    <t>Choose the bridge subdomain</t>
  </si>
  <si>
    <t>Your DNS registrar console</t>
  </si>
  <si>
    <t>Fully-qualified domain name (FQDN)</t>
  </si>
  <si>
    <t>agent.example.com</t>
  </si>
  <si>
    <t>Your DNS zone (open scoping item Q6)</t>
  </si>
  <si>
    <t>You can create/edit A records in that zone</t>
  </si>
  <si>
    <t>The exact URL HubSpot will call; also used to rebuild signed URIs</t>
  </si>
  <si>
    <t>Create the Anthropic API key (decided brain)</t>
  </si>
  <si>
    <t>console.anthropic.com &gt; API keys</t>
  </si>
  <si>
    <t>ANTHROPIC_API_KEY (sk-ant-...)</t>
  </si>
  <si>
    <t>sk-ant-api03-...</t>
  </si>
  <si>
    <t>Anthropic Console</t>
  </si>
  <si>
    <t>Key displayed once and stored in your password manager</t>
  </si>
  <si>
    <t>Decision 2026-07-13: Anthropic API powers the agent brain</t>
  </si>
  <si>
    <t>Create the Telegram gateway bot</t>
  </si>
  <si>
    <t>Telegram: chat with @BotFather &gt; /newbot</t>
  </si>
  <si>
    <t>Bot name ending in 'Bot'; returns TELEGRAM_BOT_TOKEN</t>
  </si>
  <si>
    <t>123456789:AAF...xyz</t>
  </si>
  <si>
    <t>@BotFather</t>
  </si>
  <si>
    <t>Token message received from @BotFather</t>
  </si>
  <si>
    <t>This is the OWNER GATEWAY bot — not the scraping identity</t>
  </si>
  <si>
    <t>Get your numeric Telegram user ID</t>
  </si>
  <si>
    <t>Telegram: chat with @userinfobot</t>
  </si>
  <si>
    <t>Numeric user id for TELEGRAM_ALLOWED_USERS</t>
  </si>
  <si>
    <t>123456789</t>
  </si>
  <si>
    <t>@userinfobot</t>
  </si>
  <si>
    <t>Bot replies with your numeric id</t>
  </si>
  <si>
    <t>Without the allowlist anyone could drive your agent — keep default-deny</t>
  </si>
  <si>
    <t>Confirm HubSpot super-admin on both portals</t>
  </si>
  <si>
    <t>hubspot.com login</t>
  </si>
  <si>
    <t>Super-admin membership on sandbox + prod</t>
  </si>
  <si>
    <t>sandbox 49610528, prod 9201667</t>
  </si>
  <si>
    <t>HubSpot org admin</t>
  </si>
  <si>
    <t>Both portals visible in the account switcher with admin rights</t>
  </si>
  <si>
    <t>Decision 2026-07-13: sandbox-first validation</t>
  </si>
  <si>
    <t>Authenticate the HubSpot CLI on both portals</t>
  </si>
  <si>
    <t>hs auth (once per account)</t>
  </si>
  <si>
    <t>Personal access key per portal</t>
  </si>
  <si>
    <t>personal access key from app.hubspot.com/personal-access-key</t>
  </si>
  <si>
    <t>HubSpot &gt; Settings &gt; personal access key</t>
  </si>
  <si>
    <t>hs accounts list shows 49610528 and 9201667</t>
  </si>
  <si>
    <t>Needed in Phase 5 for hs project validate/upload</t>
  </si>
  <si>
    <t>Decide the Telegram channel list to scrape</t>
  </si>
  <si>
    <t>Open https://t.me/s/&lt;username&gt; for each candidate</t>
  </si>
  <si>
    <t>Public channel usernames + topic tags</t>
  </si>
  <si>
    <t>somechannel -&gt; tags [revops]</t>
  </si>
  <si>
    <t>Your own sources (open scoping item Q4)</t>
  </si>
  <si>
    <t>Each https://t.me/s/&lt;username&gt; page renders posts</t>
  </si>
  <si>
    <t>Zero-auth web-preview mode reads only channels with a public preview</t>
  </si>
  <si>
    <t>Make this repo reachable from the VPS</t>
  </si>
  <si>
    <t>GitHub &gt; repo &gt; Code (HTTPS) or deploy key</t>
  </si>
  <si>
    <t>Clone URL (+ deploy key if private)</t>
  </si>
  <si>
    <t>https://github.com/Wkayaobama/HB-Workflow.git</t>
  </si>
  <si>
    <t>GitHub</t>
  </si>
  <si>
    <t>git ls-remote &lt;url&gt; succeeds from your machine</t>
  </si>
  <si>
    <t>Phase 1 — Provision the VPS</t>
  </si>
  <si>
    <t>Execution layer: hermes-agent/provision/setup-vps.sh (idempotent; installs companion stack to /opt/hermes-stack)</t>
  </si>
  <si>
    <t>SSH into the VPS as root</t>
  </si>
  <si>
    <t>ssh root@&lt;vps-ip&gt;</t>
  </si>
  <si>
    <t>VPS IP + root SSH key</t>
  </si>
  <si>
    <t>203.0.113.10</t>
  </si>
  <si>
    <t>Phase 0 step 1</t>
  </si>
  <si>
    <t>Shell prompt as root (id -u -&gt; 0)</t>
  </si>
  <si>
    <t>Clone the repository</t>
  </si>
  <si>
    <t>git clone &lt;repo-url&gt; &amp;&amp; cd HB-Workflow</t>
  </si>
  <si>
    <t>Repo clone URL</t>
  </si>
  <si>
    <t>Phase 0 step 9</t>
  </si>
  <si>
    <t>HB-Workflow directory exists with hermes-agent/ inside</t>
  </si>
  <si>
    <t>Run the bootstrap script</t>
  </si>
  <si>
    <t>bash hermes-agent/provision/setup-vps.sh</t>
  </si>
  <si>
    <t>None (must run as root)</t>
  </si>
  <si>
    <t>-</t>
  </si>
  <si>
    <t>This repo</t>
  </si>
  <si>
    <t>Steps [1/6]..[6/6] print; ends with 'Done. Next steps' block</t>
  </si>
  <si>
    <t>Safe to re-run after any repo update</t>
  </si>
  <si>
    <t>Check the firewall</t>
  </si>
  <si>
    <t>ufw status</t>
  </si>
  <si>
    <t>None</t>
  </si>
  <si>
    <t>Status: active; only OpenSSH(22), 80/tcp, 443/tcp allowed</t>
  </si>
  <si>
    <t>Bridge port 8787 stays loopback-only, never opened</t>
  </si>
  <si>
    <t>Check the systemd units are installed + enabled</t>
  </si>
  <si>
    <t>systemctl list-unit-files | grep hermes</t>
  </si>
  <si>
    <t>hermes-bridge.service, hermes-scraper.service, hermes-scraper.timer listed as enabled</t>
  </si>
  <si>
    <t>Enabled but NOT started until .env is filled (Phase 3)</t>
  </si>
  <si>
    <t>Check the env file was created with tight permissions</t>
  </si>
  <si>
    <t>stat -c '%a %n' /opt/hermes-stack/.env</t>
  </si>
  <si>
    <t>Mode 600 on /opt/hermes-stack/.env</t>
  </si>
  <si>
    <t>Copied from .env.example; existing .env is never overwritten</t>
  </si>
  <si>
    <t>Phase 2 — Install the Hermes harness</t>
  </si>
  <si>
    <t>Execution layer: Nous Research official installer + hermes CLI (interactive wizard; workspace ~/.hermes)</t>
  </si>
  <si>
    <t>Run the official installer</t>
  </si>
  <si>
    <t>curl -fsSL https://hermes-agent.nousresearch.com/install.sh | bash</t>
  </si>
  <si>
    <t>hermes-agent.nousresearch.com</t>
  </si>
  <si>
    <t>Installer wizard starts</t>
  </si>
  <si>
    <t>github.com/NousResearch/hermes-agent</t>
  </si>
  <si>
    <t>Choose the setup mode</t>
  </si>
  <si>
    <t>Installer menu</t>
  </si>
  <si>
    <t>Menu choice: 'Full Setup'</t>
  </si>
  <si>
    <t>Full Setup</t>
  </si>
  <si>
    <t>Ottho guide S4</t>
  </si>
  <si>
    <t>Wizard proceeds to provider selection</t>
  </si>
  <si>
    <t>Quick Setup routes through the Nous Portal instead of your own keys — do not use</t>
  </si>
  <si>
    <t>Configure the brain (decided: Anthropic)</t>
  </si>
  <si>
    <t>Installer prompt (writes ~/.hermes/.env)</t>
  </si>
  <si>
    <t>Provider 'anthropic' + ANTHROPIC_API_KEY</t>
  </si>
  <si>
    <t>Phase 0 step 3</t>
  </si>
  <si>
    <t>grep ANTHROPIC_API_KEY ~/.hermes/.env shows the key</t>
  </si>
  <si>
    <t>Decision 2026-07-13</t>
  </si>
  <si>
    <t>Pick the model</t>
  </si>
  <si>
    <t>hermes model</t>
  </si>
  <si>
    <t>Model choice from the provider list</t>
  </si>
  <si>
    <t>latest Claude model offered</t>
  </si>
  <si>
    <t>hermes CLI</t>
  </si>
  <si>
    <t>~/.hermes/config.yaml shows the chosen model</t>
  </si>
  <si>
    <t>Set up the Telegram gateway</t>
  </si>
  <si>
    <t>hermes gateway setup</t>
  </si>
  <si>
    <t>TELEGRAM_BOT_TOKEN</t>
  </si>
  <si>
    <t>Phase 0 step 4</t>
  </si>
  <si>
    <t>Wizard accepts the token</t>
  </si>
  <si>
    <t>Guide S5</t>
  </si>
  <si>
    <t>Restrict who can talk to the agent</t>
  </si>
  <si>
    <t>TELEGRAM_ALLOWED_USERS in ~/.hermes/.env</t>
  </si>
  <si>
    <t>Comma-separated numeric Telegram ids</t>
  </si>
  <si>
    <t>Phase 0 step 5</t>
  </si>
  <si>
    <t>Variable set; unknown users get no reply</t>
  </si>
  <si>
    <t>Hermes default-denies — keep it that way</t>
  </si>
  <si>
    <t>Install the gateway as a boot service</t>
  </si>
  <si>
    <t>sudo hermes gateway install --system</t>
  </si>
  <si>
    <t>Confirmation</t>
  </si>
  <si>
    <t>y</t>
  </si>
  <si>
    <t>systemctl status hermes-gateway -&gt; active (running)</t>
  </si>
  <si>
    <t>Restart later with: hermes gateway restart</t>
  </si>
  <si>
    <t>Smoke-test the gateway</t>
  </si>
  <si>
    <t>Telegram: message the bot /start, then any text</t>
  </si>
  <si>
    <t>A chat message</t>
  </si>
  <si>
    <t>coucou</t>
  </si>
  <si>
    <t>Your Telegram</t>
  </si>
  <si>
    <t>The bot answers</t>
  </si>
  <si>
    <t>Verify the workspace layout</t>
  </si>
  <si>
    <t>ls ~/.hermes</t>
  </si>
  <si>
    <t>config.yaml, .env, SOUL.md, memories/, skills/, cron/ present</t>
  </si>
  <si>
    <t>/root/.hermes on a root install — matches stack .env defaults</t>
  </si>
  <si>
    <t>Phase 3 — Configure the companion stack</t>
  </si>
  <si>
    <t>Execution layer: /opt/hermes-stack/.env + /opt/hermes-stack/scraper/sources.yaml, then first service start</t>
  </si>
  <si>
    <t>Set the harness workspace paths</t>
  </si>
  <si>
    <t>vi /opt/hermes-stack/.env</t>
  </si>
  <si>
    <t>HERMES_HOME / HERMES_INBOX_DIR / KNOWLEDGE_DIR</t>
  </si>
  <si>
    <t>/root/.hermes | /root/.hermes/inbox | /root/.hermes/knowledge/revops</t>
  </si>
  <si>
    <t>Phase 2 step 9</t>
  </si>
  <si>
    <t>Paths exist (mkdir -p the inbox/knowledge dirs)</t>
  </si>
  <si>
    <t>Defaults fit a root install — only change for a non-root harness user</t>
  </si>
  <si>
    <t>Generate the bridge shared secret</t>
  </si>
  <si>
    <t>openssl rand -hex 32</t>
  </si>
  <si>
    <t>HERMES_WEBHOOK_SECRET (64 hex chars)</t>
  </si>
  <si>
    <t>9f2c...64-hex...ab</t>
  </si>
  <si>
    <t>Generated on the VPS</t>
  </si>
  <si>
    <t>Value present in .env; SAME value reused on the HubSpot side later</t>
  </si>
  <si>
    <t>Used by the custom-code fallback + signed curl smoke tests</t>
  </si>
  <si>
    <t>Set the public bridge URL</t>
  </si>
  <si>
    <t>BRIDGE_PUBLIC_BASE_URL (https, no trailing slash)</t>
  </si>
  <si>
    <t>https://agent.example.com</t>
  </si>
  <si>
    <t>Phase 0 step 2</t>
  </si>
  <si>
    <t>Matches the Caddy domain EXACTLY</t>
  </si>
  <si>
    <t>Used to rebuild the signed URI for HubSpot v2/v3 signature checks</t>
  </si>
  <si>
    <t>Leave HubSpot keys pending (filled in Phase 5)</t>
  </si>
  <si>
    <t>HUBSPOT_PRIVATE_APP_TOKEN, HUBSPOT_CLIENT_SECRET</t>
  </si>
  <si>
    <t>(empty for now); HUBSPOT_PORTAL_ID=49610528</t>
  </si>
  <si>
    <t>Phase 5</t>
  </si>
  <si>
    <t>HUBSPOT_PORTAL_ID already reads 49610528 (sandbox-first default)</t>
  </si>
  <si>
    <t>Decision 2026-07-13: sandbox before prod</t>
  </si>
  <si>
    <t>Leave Telegram MTProto keys empty (decided: web-preview mode)</t>
  </si>
  <si>
    <t>TELEGRAM_API_ID / TELEGRAM_API_HASH / TELEGRAM_SESSION</t>
  </si>
  <si>
    <t>(all empty)</t>
  </si>
  <si>
    <t>Scraper runs in zero-auth t.me/s/ mode (~20 posts/channel/run)</t>
  </si>
  <si>
    <t>Filling all three later auto-switches to MTProto (see 9-Operations)</t>
  </si>
  <si>
    <t>Optional: instant-pickup accelerator</t>
  </si>
  <si>
    <t>HERMES_HOOK_URL (+ HERMES_HOOK_TOKEN) or HERMES_CLI_TEMPLATE</t>
  </si>
  <si>
    <t>http://127.0.0.1:8644/webhooks/hermes-stack</t>
  </si>
  <si>
    <t>Phase 6 step 6 (Hermes native webhook)</t>
  </si>
  <si>
    <t>Leave commented until Phase 6 enables the webhook</t>
  </si>
  <si>
    <t>Inbox file-drop + inbox-sweep cron already guarantees pickup</t>
  </si>
  <si>
    <t>Fill in the real channel list</t>
  </si>
  <si>
    <t>vi /opt/hermes-stack/scraper/sources.yaml</t>
  </si>
  <si>
    <t>channels[].username + tags (replace REPLACE_ME_*)</t>
  </si>
  <si>
    <t>username: somechannel / tags: [revops]</t>
  </si>
  <si>
    <t>Phase 0 step 8</t>
  </si>
  <si>
    <t>Every username renders at https://t.me/s/&lt;username&gt;</t>
  </si>
  <si>
    <t>mode: auto is correct; tune topics keyword buckets while here</t>
  </si>
  <si>
    <t>Start the bridge + scraper timer</t>
  </si>
  <si>
    <t>systemctl start hermes-bridge hermes-scraper.timer</t>
  </si>
  <si>
    <t>systemctl status shows both active</t>
  </si>
  <si>
    <t>Health-check the bridge locally</t>
  </si>
  <si>
    <t>curl -s localhost:8787/healthz</t>
  </si>
  <si>
    <t>{"ok": true, "service": "hermes-bridge"}</t>
  </si>
  <si>
    <t>Bridge binds 127.0.0.1:8787 only</t>
  </si>
  <si>
    <t>Run one manual scrape</t>
  </si>
  <si>
    <t>systemctl start hermes-scraper &amp;&amp; journalctl -u hermes-scraper -n 50</t>
  </si>
  <si>
    <t>Log shows fetched/kept counts per channel, no tracebacks; items in KNOWLEDGE_DIR/inbox/</t>
  </si>
  <si>
    <t>Timer then runs it 4x/day</t>
  </si>
  <si>
    <t>Phase 4 — TLS exposure</t>
  </si>
  <si>
    <t>Execution layer: provision/Caddyfile -&gt; /etc/caddy/Caddyfile (public edge; bridge stays on loopback)</t>
  </si>
  <si>
    <t>Point DNS at the VPS</t>
  </si>
  <si>
    <t>Registrar console: A record</t>
  </si>
  <si>
    <t>A record: &lt;subdomain&gt; -&gt; &lt;vps-ip&gt;</t>
  </si>
  <si>
    <t>agent.example.com -&gt; 203.0.113.10</t>
  </si>
  <si>
    <t>dig +short agent.example.com returns the VPS IP</t>
  </si>
  <si>
    <t>Do this BEFORE reloading Caddy (Let's Encrypt HTTP challenge)</t>
  </si>
  <si>
    <t>Install Caddy</t>
  </si>
  <si>
    <t>apt-get install -y caddy</t>
  </si>
  <si>
    <t>Ubuntu/Caddy repos</t>
  </si>
  <si>
    <t>caddy version prints</t>
  </si>
  <si>
    <t>Install the stack Caddyfile</t>
  </si>
  <si>
    <t>cp /opt/hermes-stack/provision/Caddyfile /etc/caddy/Caddyfile</t>
  </si>
  <si>
    <t>File in place</t>
  </si>
  <si>
    <t>Set the real domain in the Caddyfile</t>
  </si>
  <si>
    <t>vi /etc/caddy/Caddyfile</t>
  </si>
  <si>
    <t>Your FQDN replacing the placeholder</t>
  </si>
  <si>
    <t>caddy validate --config /etc/caddy/Caddyfile passes</t>
  </si>
  <si>
    <t>Only /hooks/hubspot and /healthz are proxied; everything else 404s at the edge</t>
  </si>
  <si>
    <t>Reload Caddy</t>
  </si>
  <si>
    <t>systemctl reload caddy</t>
  </si>
  <si>
    <t>journalctl -u caddy shows the certificate obtained</t>
  </si>
  <si>
    <t>Verify public health endpoint + cert</t>
  </si>
  <si>
    <t>curl -s https://agent.example.com/healthz</t>
  </si>
  <si>
    <t>{"ok": true, ...} over valid TLS; curl https://agent.example.com/other -&gt; 404</t>
  </si>
  <si>
    <t>This URL is what goes into the workflow-action actionUrl</t>
  </si>
  <si>
    <t>Phase 5 — HubSpot interoperability (sandbox 49610528)</t>
  </si>
  <si>
    <t>Execution layer: HubSpot private-app UI + hubspot/workflow-action/hermes-trigger-hsmeta.json + hs CLI</t>
  </si>
  <si>
    <t>5a. Create the dedicated private app (sandbox)</t>
  </si>
  <si>
    <t>Sandbox 49610528: Settings &gt; Integrations &gt; Private apps &gt; Create app</t>
  </si>
  <si>
    <t>App name</t>
  </si>
  <si>
    <t>Hermes Agent</t>
  </si>
  <si>
    <t>Decision 2026-07-13 (dedicated app, sandbox first)</t>
  </si>
  <si>
    <t>App created</t>
  </si>
  <si>
    <t>Separate from the live IcAlps app — clean blast radius</t>
  </si>
  <si>
    <t>5a. Grant CRM scopes</t>
  </si>
  <si>
    <t>Private app &gt; Scopes tab</t>
  </si>
  <si>
    <t>6 scopes</t>
  </si>
  <si>
    <t>crm.objects.{contacts,companies,deals}.read + .write</t>
  </si>
  <si>
    <t>skills/revops/hubspot-crm/SKILL.md</t>
  </si>
  <si>
    <t>All 6 scopes listed on the app</t>
  </si>
  <si>
    <t>Notes/Tasks engagements ride on these object scopes</t>
  </si>
  <si>
    <t>5a. Copy the token into the stack env</t>
  </si>
  <si>
    <t>vi /opt/hermes-stack/.env then systemctl restart hermes-bridge</t>
  </si>
  <si>
    <t>HUBSPOT_PRIVATE_APP_TOKEN (pat-...), HUBSPOT_PORTAL_ID</t>
  </si>
  <si>
    <t>pat-eu1-... / 49610528</t>
  </si>
  <si>
    <t>Private app &gt; Auth tab</t>
  </si>
  <si>
    <t>Bridge restarts clean (journalctl -u hermes-bridge)</t>
  </si>
  <si>
    <t>5a. Verify agent-side CRM access</t>
  </si>
  <si>
    <t>python3 /opt/hermes-stack/skills/revops/hubspot-crm/hs_api.py get-deal &lt;deal-id&gt;</t>
  </si>
  <si>
    <t>A sandbox deal id</t>
  </si>
  <si>
    <t>36808247883</t>
  </si>
  <si>
    <t>Any test deal in sandbox</t>
  </si>
  <si>
    <t>Deal JSON returned (name, stage, amount)</t>
  </si>
  <si>
    <t>Runs with the .env token; proves outbound interop</t>
  </si>
  <si>
    <t>5b. Set the action URL in the manifest</t>
  </si>
  <si>
    <t>vi hermes-agent/hubspot/workflow-action/hermes-trigger-hsmeta.json</t>
  </si>
  <si>
    <t>actionUrl</t>
  </si>
  <si>
    <t>https://agent.example.com/hooks/hubspot</t>
  </si>
  <si>
    <t>Phase 4 step 6</t>
  </si>
  <si>
    <t>actionUrl field holds the real bridge URL</t>
  </si>
  <si>
    <t>Commit the change — the manifest is source-controlled</t>
  </si>
  <si>
    <t>5b. Stage the component into the projects app</t>
  </si>
  <si>
    <t>mkdir -p ui-extension/src/app/workflow-actions &amp;&amp; cp hermes-agent/hubspot/workflow-action/hermes-trigger-hsmeta.json ui-extension/src/app/workflow-actions/</t>
  </si>
  <si>
    <t>File present under src/app/workflow-actions/</t>
  </si>
  <si>
    <t>Directory name 'workflow-actions' is mandatory (2026.03 platform)</t>
  </si>
  <si>
    <t>5b. Validate + upload to sandbox</t>
  </si>
  <si>
    <t>hs project validate &amp;&amp; hs project upload (account 49610528)</t>
  </si>
  <si>
    <t>hs account selection</t>
  </si>
  <si>
    <t>49610528</t>
  </si>
  <si>
    <t>Phase 0 step 7</t>
  </si>
  <si>
    <t>Build + deploy succeed in the project UI</t>
  </si>
  <si>
    <t>Validate/build success does not imply runtime success — keep going</t>
  </si>
  <si>
    <t>5b. Reauthorize the app install</t>
  </si>
  <si>
    <t>Project &gt; Distribution tab</t>
  </si>
  <si>
    <t>Click reinstall/reauthorize if prompted</t>
  </si>
  <si>
    <t>HubSpot UI</t>
  </si>
  <si>
    <t>App shows installed with the new workflow action</t>
  </si>
  <si>
    <t>5b. Wire the v2 signing secret</t>
  </si>
  <si>
    <t>App Auth page -&gt; vi /opt/hermes-stack/.env (HUBSPOT_CLIENT_SECRET) -&gt; systemctl restart hermes-bridge</t>
  </si>
  <si>
    <t>HUBSPOT_CLIENT_SECRET</t>
  </si>
  <si>
    <t>(from the app's Auth page after upload)</t>
  </si>
  <si>
    <t>HubSpot app settings</t>
  </si>
  <si>
    <t>Secret set; bridge restarted</t>
  </si>
  <si>
    <t>OPEN ITEM: if the static-auth 2026.03 app surfaces no secret, use a capability-token URL path enforced in Caddy — never run unauthenticated</t>
  </si>
  <si>
    <t>5b. Build the sandbox trigger workflow</t>
  </si>
  <si>
    <t>Sandbox: Automation &gt; Workflows &gt; Create (e.g. deal-based)</t>
  </si>
  <si>
    <t>Enrollment trigger</t>
  </si>
  <si>
    <t>Deal stage becomes 'Identified' (pipeline 763145477 / stage 1113385378 on sandbox)</t>
  </si>
  <si>
    <t>Open scoping item Q1.3 (first trigger events)</t>
  </si>
  <si>
    <t>Workflow saved with the enrollment trigger</t>
  </si>
  <si>
    <t>Sandbox pipeline ids differ from prod — see ui-extension ARCHITECTURE S5</t>
  </si>
  <si>
    <t>5b. Add the Trigger Hermes Agent action</t>
  </si>
  <si>
    <t>Workflow &gt; + &gt; Trigger Hermes Agent</t>
  </si>
  <si>
    <t>hermes_action input field</t>
  </si>
  <si>
    <t>deal_review (or contact_enrich / company_brief / revops_digest / custom)</t>
  </si>
  <si>
    <t>bridge/app.py TASK_TEMPLATES</t>
  </si>
  <si>
    <t>Action added with a valid hermes_action</t>
  </si>
  <si>
    <t>hermes_prompt is REQUIRED when hermes_action = custom</t>
  </si>
  <si>
    <t>Phase 6 — Seed the agent</t>
  </si>
  <si>
    <t>Execution layer: skills/revops/ -&gt; ~/.hermes/skills/ + hermes cron/webhook CLI</t>
  </si>
  <si>
    <t>Copy the seed skills into the harness</t>
  </si>
  <si>
    <t>cp -r /opt/hermes-stack/skills/revops /root/.hermes/skills/</t>
  </si>
  <si>
    <t>/root/.hermes/skills/revops/ holds revops-radar, hubspot-crm, inbox-sweep, skill-authoring</t>
  </si>
  <si>
    <t>Hermes layout: skills/&lt;category&gt;/&lt;skill&gt;/SKILL.md</t>
  </si>
  <si>
    <t>Share the stack env with the agent's tools</t>
  </si>
  <si>
    <t>grep -E '^(HUBSPOT_|HERMES_INBOX_DIR|KNOWLEDGE_DIR)' /opt/hermes-stack/.env &gt;&gt; /root/.hermes/.env</t>
  </si>
  <si>
    <t>Stack .env (Phases 3+5)</t>
  </si>
  <si>
    <t>HubSpot token + paths appear in ~/.hermes/.env</t>
  </si>
  <si>
    <t>Lets hs_api.py run from inside the agent</t>
  </si>
  <si>
    <t>Reload skills</t>
  </si>
  <si>
    <t>Telegram: /reload-skills</t>
  </si>
  <si>
    <t>Bot lists the four revops skills</t>
  </si>
  <si>
    <t>Run the self-configuration interview</t>
  </si>
  <si>
    <t>Telegram: ask the agent to interview you to auto-configure</t>
  </si>
  <si>
    <t>Your answers: who you are, RevOps focus, HubSpot context, tone</t>
  </si>
  <si>
    <t>(free-form chat)</t>
  </si>
  <si>
    <t>Guide S6</t>
  </si>
  <si>
    <t>SOUL.md / memories updated by the agent</t>
  </si>
  <si>
    <t>Create the inbox-sweep heartbeat</t>
  </si>
  <si>
    <t>hermes cron create "5m" "Run the inbox-sweep skill" --name inbox-sweep</t>
  </si>
  <si>
    <t>Interval + instruction + name</t>
  </si>
  <si>
    <t>5m / "Run the inbox-sweep skill" / inbox-sweep</t>
  </si>
  <si>
    <t>skills/revops/inbox-sweep/SKILL.md</t>
  </si>
  <si>
    <t>hermes cron list shows inbox-sweep</t>
  </si>
  <si>
    <t>THIS turns the file inbox into a live queue — do not skip</t>
  </si>
  <si>
    <t>Optional: native webhook for instant pickup</t>
  </si>
  <si>
    <t>~/.hermes/.env: WEBHOOK_ENABLED=true, WEBHOOK_SECRET=...; hermes webhook subscribe; then set HERMES_HOOK_URL in /opt/hermes-stack/.env</t>
  </si>
  <si>
    <t>WEBHOOK_SECRET + route</t>
  </si>
  <si>
    <t>hermes webhook --help</t>
  </si>
  <si>
    <t>Bridge log shows hook delivery instead of inbox-only</t>
  </si>
  <si>
    <t>Accelerator only; the 5m sweep already guarantees pickup</t>
  </si>
  <si>
    <t>Phase 7 — End-to-end validation (all on sandbox)</t>
  </si>
  <si>
    <t>Execution layer: signed/unsigned curl + systemctl + a live sandbox workflow enrollment (sign-off record)</t>
  </si>
  <si>
    <t>Reject unsigned calls</t>
  </si>
  <si>
    <t>curl -s -o /dev/null -w '%{http_code}' -X POST https://agent.example.com/hooks/hubspot -d '{}'</t>
  </si>
  <si>
    <t>HTTP 401</t>
  </si>
  <si>
    <t>Proves the edge never accepts unauthenticated work</t>
  </si>
  <si>
    <t>Accept a signed call</t>
  </si>
  <si>
    <t>Signed POST with X-Hermes-Timestamp + X-Hermes-Signature (HMAC-SHA256 of 'v0:&lt;ts&gt;:&lt;body&gt;' with HERMES_WEBHOOK_SECRET)</t>
  </si>
  <si>
    <t>Body: action/objectType/objectId/portalId JSON</t>
  </si>
  <si>
    <t>{"action":"deal_review","objectType":"deal","objectId":"123","portalId":"49610528"}</t>
  </si>
  <si>
    <t>hermeslib/security.py header recipe</t>
  </si>
  <si>
    <t>{"status":"queued","taskId":...} + task file in HERMES_INBOX_DIR</t>
  </si>
  <si>
    <t>5-minute replay window enforced</t>
  </si>
  <si>
    <t>Scrape-to-digest loop</t>
  </si>
  <si>
    <t>systemctl start hermes-scraper</t>
  </si>
  <si>
    <t>Items in KNOWLEDGE_DIR/inbox/; within ~5 min the agent sends a Telegram digest</t>
  </si>
  <si>
    <t>Needs the inbox-sweep cron from Phase 6</t>
  </si>
  <si>
    <t>Workflow round-trip</t>
  </si>
  <si>
    <t>Sandbox workflow: enroll one test deal</t>
  </si>
  <si>
    <t>A test deal id</t>
  </si>
  <si>
    <t>Sandbox CRM</t>
  </si>
  <si>
    <t>Bridge log 'via hubspot-v2'; Note written on the deal; action outputs hermes_status=queued + hermes_task_id</t>
  </si>
  <si>
    <t>The core interop proof: HubSpot -&gt; bridge -&gt; agent -&gt; HubSpot Note</t>
  </si>
  <si>
    <t>Reboot resilience</t>
  </si>
  <si>
    <t>reboot, then re-check</t>
  </si>
  <si>
    <t>hermes-gateway, hermes-bridge, hermes-scraper.timer, caddy all active; /healthz green</t>
  </si>
  <si>
    <t>All units are enabled at boot by Phases 1-2</t>
  </si>
  <si>
    <t>Phase 8 — Prod cutover (9201667)</t>
  </si>
  <si>
    <t>Execution layer: prod private app + .env swap + hs project upload against prod (only after Phase 7 is fully green)</t>
  </si>
  <si>
    <t>Create the prod private app</t>
  </si>
  <si>
    <t>Prod 9201667: Settings &gt; Integrations &gt; Private apps &gt; Create 'Hermes Agent'</t>
  </si>
  <si>
    <t>Same 6 CRM scopes as sandbox</t>
  </si>
  <si>
    <t>Phase 5a</t>
  </si>
  <si>
    <t>App created on prod</t>
  </si>
  <si>
    <t>Swap the stack env to prod</t>
  </si>
  <si>
    <t>vi /opt/hermes-stack/.env &amp;&amp; systemctl restart hermes-bridge</t>
  </si>
  <si>
    <t>HUBSPOT_PRIVATE_APP_TOKEN + HUBSPOT_PORTAL_ID</t>
  </si>
  <si>
    <t>pat-eu1-...(prod) / 9201667</t>
  </si>
  <si>
    <t>Prod app Auth tab</t>
  </si>
  <si>
    <t>Bridge restart clean; hs_api.py get-deal works against a prod deal</t>
  </si>
  <si>
    <t>Upload the workflow action to prod</t>
  </si>
  <si>
    <t>hs project upload (account 9201667) + Distribution tab reauthorize</t>
  </si>
  <si>
    <t>9201667</t>
  </si>
  <si>
    <t>Deploy succeeds; app reauthorized</t>
  </si>
  <si>
    <t>Mind the LIVE IcAlps app: validate/build success != runtime success (ui-extension ARCHITECTURE S4)</t>
  </si>
  <si>
    <t>Update the signing secret if prod's differs</t>
  </si>
  <si>
    <t>vi /opt/hermes-stack/.env (HUBSPOT_CLIENT_SECRET) &amp;&amp; systemctl restart hermes-bridge</t>
  </si>
  <si>
    <t>Prod HUBSPOT_CLIENT_SECRET</t>
  </si>
  <si>
    <t>(from prod app Auth page)</t>
  </si>
  <si>
    <t>Bridge verifies prod-signed posts (log 'via hubspot-v2')</t>
  </si>
  <si>
    <t>Rebuild the trigger workflow on prod</t>
  </si>
  <si>
    <t>Prod: Automation &gt; Workflows (prod pipeline 766126206 / stage 1116419644 'Identified')</t>
  </si>
  <si>
    <t>Enrollment trigger + hermes_action</t>
  </si>
  <si>
    <t>deal_review on stage change</t>
  </si>
  <si>
    <t>Phase 5b pattern</t>
  </si>
  <si>
    <t>Workflow live, enrollment OFF or narrowed to one record</t>
  </si>
  <si>
    <t>Prod pipeline ids differ from sandbox</t>
  </si>
  <si>
    <t>Single-record canary, then widen</t>
  </si>
  <si>
    <t>Enroll ONE real record; verify; then widen enrollment criteria</t>
  </si>
  <si>
    <t>One real deal id</t>
  </si>
  <si>
    <t>(pick a low-stakes deal)</t>
  </si>
  <si>
    <t>Prod CRM</t>
  </si>
  <si>
    <t>Note appears on the record; no errors in bridge log; then widen</t>
  </si>
  <si>
    <t>Keep the sandbox app + workflow as the permanent staging lane</t>
  </si>
  <si>
    <t>Phase 9 — Steady-state operations</t>
  </si>
  <si>
    <t>Execution layer: systemd/journalctl + hermes CLI + .env rotations (recurring; no fixed sequence)</t>
  </si>
  <si>
    <t>Watch bridge logs live</t>
  </si>
  <si>
    <t>journalctl -u hermes-bridge -f</t>
  </si>
  <si>
    <t>Queued tasks + auth schemes visible per request</t>
  </si>
  <si>
    <t>Check the last scrape run</t>
  </si>
  <si>
    <t>journalctl -u hermes-scraper -n 100</t>
  </si>
  <si>
    <t>fetched/kept counts, no tracebacks</t>
  </si>
  <si>
    <t>Check the scrape schedule</t>
  </si>
  <si>
    <t>systemctl list-timers hermes-scraper.timer</t>
  </si>
  <si>
    <t>Next run ~6h cadence (4x/day)</t>
  </si>
  <si>
    <t>Restart the agent gateway</t>
  </si>
  <si>
    <t>hermes gateway restart</t>
  </si>
  <si>
    <t>Bot answers on Telegram again</t>
  </si>
  <si>
    <t>Redeploy after a repo update</t>
  </si>
  <si>
    <t>git pull &amp;&amp; bash hermes-agent/provision/setup-vps.sh &amp;&amp; systemctl restart hermes-bridge</t>
  </si>
  <si>
    <t>Script re-runs idempotently; bridge healthy</t>
  </si>
  <si>
    <t>.env and scraper state are preserved by the rsync excludes</t>
  </si>
  <si>
    <t>Rotate the webhook secret</t>
  </si>
  <si>
    <t>openssl rand -hex 32 -&gt; .env AND the HubSpot-side secret; systemctl restart hermes-bridge</t>
  </si>
  <si>
    <t>New HERMES_WEBHOOK_SECRET (64 hex)</t>
  </si>
  <si>
    <t>(fresh value)</t>
  </si>
  <si>
    <t>Old signature rejected (401), new accepted</t>
  </si>
  <si>
    <t>Rotate both sides in one maintenance window</t>
  </si>
  <si>
    <t>Upgrade scraping to MTProto (when ready)</t>
  </si>
  <si>
    <t>Locally: python3 hermes-agent/scraper/make_session.py; paste into VPS .env</t>
  </si>
  <si>
    <t>TELEGRAM_API_ID + TELEGRAM_API_HASH + TELEGRAM_SESSION</t>
  </si>
  <si>
    <t>api_id 1234567 / api_hash 32-hex / StringSession</t>
  </si>
  <si>
    <t>my.telegram.org &gt; API development tools (dedicated, aged, non-critical account)</t>
  </si>
  <si>
    <t>Next scrape logs mtproto mode; full history + fetch_limit=30 honored</t>
  </si>
  <si>
    <t>NEVER log in interactively on the VPS; datacenter-IP fresh logins are the flagging trigger</t>
  </si>
  <si>
    <t>Context hygiene</t>
  </si>
  <si>
    <t>Telegram: prefer fresh conversations for new topics</t>
  </si>
  <si>
    <t>Guide S8</t>
  </si>
  <si>
    <t>Quality stays high; durable memory lands in files</t>
  </si>
  <si>
    <t>The seed skills already push file-based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</si>
</sst>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13"/>
      <color rgb="FF1F3864"/>
      <name val="Arial"/>
      <charset val="1"/>
    </font>
    <font>
      <sz val="9"/>
      <name val="Courier Ne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1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4" borderId="0" xfId="0" applyFont="1" applyFill="1"/>
    <xf numFmtId="0" fontId="7" fillId="0" borderId="0" xfId="0" applyFont="1"/>
    <xf numFmtId="0" fontId="5" fillId="0" borderId="0" xfId="0" applyFont="1"/>
    <xf numFmtId="0" fontId="5" fillId="2" borderId="0" xfId="0" applyFont="1" applyFill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/>
    <xf numFmtId="0" fontId="6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9" fontId="3" fillId="0" borderId="1" xfId="0" applyNumberFormat="1" applyFont="1" applyBorder="1" applyAlignment="1">
      <alignment vertical="top"/>
    </xf>
    <xf numFmtId="0" fontId="5" fillId="0" borderId="1" xfId="0" applyFont="1" applyBorder="1"/>
    <xf numFmtId="9" fontId="5" fillId="0" borderId="1" xfId="0" applyNumberFormat="1" applyFont="1" applyBorder="1"/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Normal="100" workbookViewId="0">
      <selection sqref="A1:F1"/>
    </sheetView>
  </sheetViews>
  <sheetFormatPr defaultColWidth="8.5703125" defaultRowHeight="15" x14ac:dyDescent="0.25"/>
  <cols>
    <col min="1" max="1" width="8" customWidth="1"/>
    <col min="2" max="2" width="20" customWidth="1"/>
    <col min="3" max="3" width="62" customWidth="1"/>
    <col min="4" max="5" width="10" customWidth="1"/>
    <col min="6" max="6" width="12" customWidth="1"/>
  </cols>
  <sheetData>
    <row r="1" spans="1:6" ht="19.5" x14ac:dyDescent="0.3">
      <c r="A1" s="7" t="s">
        <v>0</v>
      </c>
      <c r="B1" s="7"/>
      <c r="C1" s="7"/>
      <c r="D1" s="7"/>
      <c r="E1" s="7"/>
      <c r="F1" s="7"/>
    </row>
    <row r="2" spans="1:6" ht="42" customHeight="1" x14ac:dyDescent="0.25">
      <c r="A2" s="6" t="s">
        <v>1</v>
      </c>
      <c r="B2" s="6"/>
      <c r="C2" s="6"/>
      <c r="D2" s="6"/>
      <c r="E2" s="6"/>
      <c r="F2" s="6"/>
    </row>
    <row r="3" spans="1:6" ht="30" customHeight="1" x14ac:dyDescent="0.25">
      <c r="A3" s="5" t="s">
        <v>2</v>
      </c>
      <c r="B3" s="5"/>
      <c r="C3" s="5"/>
      <c r="D3" s="5"/>
      <c r="E3" s="5"/>
      <c r="F3" s="5"/>
    </row>
    <row r="5" spans="1:6" x14ac:dyDescent="0.25">
      <c r="A5" s="8" t="s">
        <v>3</v>
      </c>
    </row>
    <row r="6" spans="1:6" ht="25.5" customHeight="1" x14ac:dyDescent="0.25">
      <c r="A6" s="4" t="s">
        <v>4</v>
      </c>
      <c r="B6" s="4"/>
      <c r="C6" s="5" t="s">
        <v>5</v>
      </c>
      <c r="D6" s="5"/>
      <c r="E6" s="5"/>
      <c r="F6" s="5"/>
    </row>
    <row r="7" spans="1:6" ht="25.5" customHeight="1" x14ac:dyDescent="0.25">
      <c r="A7" s="3" t="s">
        <v>6</v>
      </c>
      <c r="B7" s="3"/>
      <c r="C7" s="5" t="s">
        <v>7</v>
      </c>
      <c r="D7" s="5"/>
      <c r="E7" s="5"/>
      <c r="F7" s="5"/>
    </row>
    <row r="8" spans="1:6" ht="25.5" customHeight="1" x14ac:dyDescent="0.25">
      <c r="A8" s="3" t="s">
        <v>8</v>
      </c>
      <c r="B8" s="3"/>
      <c r="C8" s="5" t="s">
        <v>9</v>
      </c>
      <c r="D8" s="5"/>
      <c r="E8" s="5"/>
      <c r="F8" s="5"/>
    </row>
    <row r="9" spans="1:6" ht="25.5" customHeight="1" x14ac:dyDescent="0.25">
      <c r="A9" s="3" t="s">
        <v>10</v>
      </c>
      <c r="B9" s="3"/>
      <c r="C9" s="5" t="s">
        <v>11</v>
      </c>
      <c r="D9" s="5"/>
      <c r="E9" s="5"/>
      <c r="F9" s="5"/>
    </row>
    <row r="11" spans="1:6" x14ac:dyDescent="0.25">
      <c r="A11" s="9" t="s">
        <v>12</v>
      </c>
      <c r="B11" s="9" t="s">
        <v>13</v>
      </c>
      <c r="C11" s="9" t="s">
        <v>14</v>
      </c>
      <c r="D11" s="9" t="s">
        <v>15</v>
      </c>
      <c r="E11" s="9" t="s">
        <v>16</v>
      </c>
      <c r="F11" s="9" t="s">
        <v>17</v>
      </c>
    </row>
    <row r="12" spans="1:6" ht="25.5" x14ac:dyDescent="0.25">
      <c r="A12" s="10">
        <v>0</v>
      </c>
      <c r="B12" s="11" t="s">
        <v>18</v>
      </c>
      <c r="C12" s="12" t="s">
        <v>19</v>
      </c>
      <c r="D12" s="11">
        <f>COUNTA('0-Prerequisites'!$A$4:$A$200)</f>
        <v>9</v>
      </c>
      <c r="E12" s="11">
        <f>COUNTIF('0-Prerequisites'!$I$4:$I$200,"DONE")</f>
        <v>0</v>
      </c>
      <c r="F12" s="13">
        <f t="shared" ref="F12:F22" si="0">IF(D12=0,0,E12/D12)</f>
        <v>0</v>
      </c>
    </row>
    <row r="13" spans="1:6" ht="25.5" x14ac:dyDescent="0.25">
      <c r="A13" s="10">
        <v>1</v>
      </c>
      <c r="B13" s="11" t="s">
        <v>20</v>
      </c>
      <c r="C13" s="12" t="s">
        <v>21</v>
      </c>
      <c r="D13" s="11">
        <f>COUNTA('1-VPS-Provision'!$A$4:$A$200)</f>
        <v>6</v>
      </c>
      <c r="E13" s="11">
        <f>COUNTIF('1-VPS-Provision'!$I$4:$I$200,"DONE")</f>
        <v>0</v>
      </c>
      <c r="F13" s="13">
        <f t="shared" si="0"/>
        <v>0</v>
      </c>
    </row>
    <row r="14" spans="1:6" ht="25.5" x14ac:dyDescent="0.25">
      <c r="A14" s="10">
        <v>2</v>
      </c>
      <c r="B14" s="11" t="s">
        <v>22</v>
      </c>
      <c r="C14" s="12" t="s">
        <v>23</v>
      </c>
      <c r="D14" s="11">
        <f>COUNTA('2-Hermes-Install'!$A$4:$A$200)</f>
        <v>9</v>
      </c>
      <c r="E14" s="11">
        <f>COUNTIF('2-Hermes-Install'!$I$4:$I$200,"DONE")</f>
        <v>0</v>
      </c>
      <c r="F14" s="13">
        <f t="shared" si="0"/>
        <v>0</v>
      </c>
    </row>
    <row r="15" spans="1:6" ht="25.5" x14ac:dyDescent="0.25">
      <c r="A15" s="10">
        <v>3</v>
      </c>
      <c r="B15" s="11" t="s">
        <v>24</v>
      </c>
      <c r="C15" s="12" t="s">
        <v>25</v>
      </c>
      <c r="D15" s="11">
        <f>COUNTA('3-Stack-Config'!$A$4:$A$200)</f>
        <v>10</v>
      </c>
      <c r="E15" s="11">
        <f>COUNTIF('3-Stack-Config'!$I$4:$I$200,"DONE")</f>
        <v>0</v>
      </c>
      <c r="F15" s="13">
        <f t="shared" si="0"/>
        <v>0</v>
      </c>
    </row>
    <row r="16" spans="1:6" ht="25.5" x14ac:dyDescent="0.25">
      <c r="A16" s="10">
        <v>4</v>
      </c>
      <c r="B16" s="11" t="s">
        <v>26</v>
      </c>
      <c r="C16" s="12" t="s">
        <v>27</v>
      </c>
      <c r="D16" s="11">
        <f>COUNTA('4-TLS-Caddy'!$A$4:$A$200)</f>
        <v>6</v>
      </c>
      <c r="E16" s="11">
        <f>COUNTIF('4-TLS-Caddy'!$I$4:$I$200,"DONE")</f>
        <v>0</v>
      </c>
      <c r="F16" s="13">
        <f t="shared" si="0"/>
        <v>0</v>
      </c>
    </row>
    <row r="17" spans="1:6" ht="25.5" x14ac:dyDescent="0.25">
      <c r="A17" s="10">
        <v>5</v>
      </c>
      <c r="B17" s="11" t="s">
        <v>28</v>
      </c>
      <c r="C17" s="12" t="s">
        <v>29</v>
      </c>
      <c r="D17" s="11">
        <f>COUNTA('5-HubSpot-Interop'!$A$4:$A$200)</f>
        <v>11</v>
      </c>
      <c r="E17" s="11">
        <f>COUNTIF('5-HubSpot-Interop'!$I$4:$I$200,"DONE")</f>
        <v>0</v>
      </c>
      <c r="F17" s="13">
        <f t="shared" si="0"/>
        <v>0</v>
      </c>
    </row>
    <row r="18" spans="1:6" x14ac:dyDescent="0.25">
      <c r="A18" s="10">
        <v>6</v>
      </c>
      <c r="B18" s="11" t="s">
        <v>30</v>
      </c>
      <c r="C18" s="12" t="s">
        <v>31</v>
      </c>
      <c r="D18" s="11">
        <f>COUNTA('6-Agent-Seed'!$A$4:$A$200)</f>
        <v>6</v>
      </c>
      <c r="E18" s="11">
        <f>COUNTIF('6-Agent-Seed'!$I$4:$I$200,"DONE")</f>
        <v>0</v>
      </c>
      <c r="F18" s="13">
        <f t="shared" si="0"/>
        <v>0</v>
      </c>
    </row>
    <row r="19" spans="1:6" ht="25.5" x14ac:dyDescent="0.25">
      <c r="A19" s="10">
        <v>7</v>
      </c>
      <c r="B19" s="11" t="s">
        <v>32</v>
      </c>
      <c r="C19" s="12" t="s">
        <v>33</v>
      </c>
      <c r="D19" s="11">
        <f>COUNTA('7-Validation'!$A$4:$A$200)</f>
        <v>5</v>
      </c>
      <c r="E19" s="11">
        <f>COUNTIF('7-Validation'!$I$4:$I$200,"DONE")</f>
        <v>0</v>
      </c>
      <c r="F19" s="13">
        <f t="shared" si="0"/>
        <v>0</v>
      </c>
    </row>
    <row r="20" spans="1:6" ht="25.5" x14ac:dyDescent="0.25">
      <c r="A20" s="10">
        <v>8</v>
      </c>
      <c r="B20" s="11" t="s">
        <v>34</v>
      </c>
      <c r="C20" s="12" t="s">
        <v>35</v>
      </c>
      <c r="D20" s="11">
        <f>COUNTA('8-Prod-Cutover'!$A$4:$A$200)</f>
        <v>6</v>
      </c>
      <c r="E20" s="11">
        <f>COUNTIF('8-Prod-Cutover'!$I$4:$I$200,"DONE")</f>
        <v>0</v>
      </c>
      <c r="F20" s="13">
        <f t="shared" si="0"/>
        <v>0</v>
      </c>
    </row>
    <row r="21" spans="1:6" ht="25.5" x14ac:dyDescent="0.25">
      <c r="A21" s="10">
        <v>9</v>
      </c>
      <c r="B21" s="11" t="s">
        <v>36</v>
      </c>
      <c r="C21" s="12" t="s">
        <v>37</v>
      </c>
      <c r="D21" s="11">
        <f>COUNTA('9-Operations'!$A$4:$A$200)</f>
        <v>8</v>
      </c>
      <c r="E21" s="11">
        <f>COUNTIF('9-Operations'!$I$4:$I$200,"DONE")</f>
        <v>0</v>
      </c>
      <c r="F21" s="13">
        <f t="shared" si="0"/>
        <v>0</v>
      </c>
    </row>
    <row r="22" spans="1:6" x14ac:dyDescent="0.25">
      <c r="C22" s="14" t="s">
        <v>38</v>
      </c>
      <c r="D22" s="14">
        <f>SUM(D12:D21)</f>
        <v>76</v>
      </c>
      <c r="E22" s="14">
        <f>SUM(E12:E21)</f>
        <v>0</v>
      </c>
      <c r="F22" s="15">
        <f t="shared" si="0"/>
        <v>0</v>
      </c>
    </row>
  </sheetData>
  <mergeCells count="11">
    <mergeCell ref="A7:B7"/>
    <mergeCell ref="C7:F7"/>
    <mergeCell ref="A8:B8"/>
    <mergeCell ref="C8:F8"/>
    <mergeCell ref="A9:B9"/>
    <mergeCell ref="C9:F9"/>
    <mergeCell ref="A1:F1"/>
    <mergeCell ref="A2:F2"/>
    <mergeCell ref="A3:F3"/>
    <mergeCell ref="A6:B6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J1"/>
    </sheetView>
  </sheetViews>
  <sheetFormatPr defaultColWidth="8.5703125" defaultRowHeight="15" x14ac:dyDescent="0.25"/>
  <cols>
    <col min="1" max="1" width="5" customWidth="1"/>
    <col min="2" max="2" width="34" customWidth="1"/>
    <col min="3" max="3" width="44" customWidth="1"/>
    <col min="4" max="4" width="34" customWidth="1"/>
    <col min="5" max="5" width="30" customWidth="1"/>
    <col min="6" max="6" width="28" customWidth="1"/>
    <col min="7" max="7" width="42" customWidth="1"/>
    <col min="8" max="8" width="26" customWidth="1"/>
    <col min="9" max="9" width="9" customWidth="1"/>
    <col min="10" max="10" width="34" customWidth="1"/>
  </cols>
  <sheetData>
    <row r="1" spans="1:10" ht="16.5" x14ac:dyDescent="0.25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40</v>
      </c>
      <c r="B2" s="1"/>
      <c r="C2" s="1"/>
      <c r="D2" s="1"/>
      <c r="E2" s="1"/>
      <c r="F2" s="1"/>
      <c r="G2" s="1"/>
      <c r="H2" s="1"/>
      <c r="I2" s="1"/>
      <c r="J2" s="1"/>
    </row>
    <row r="3" spans="1:10" ht="25.5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8</v>
      </c>
      <c r="J3" s="9" t="s">
        <v>49</v>
      </c>
    </row>
    <row r="4" spans="1:10" ht="38.25" x14ac:dyDescent="0.25">
      <c r="A4" s="16">
        <v>1</v>
      </c>
      <c r="B4" s="17" t="s">
        <v>50</v>
      </c>
      <c r="C4" s="18" t="s">
        <v>51</v>
      </c>
      <c r="D4" s="17" t="s">
        <v>52</v>
      </c>
      <c r="E4" s="18" t="s">
        <v>53</v>
      </c>
      <c r="F4" s="17" t="s">
        <v>54</v>
      </c>
      <c r="G4" s="17" t="s">
        <v>55</v>
      </c>
      <c r="H4" s="19"/>
      <c r="I4" s="19" t="s">
        <v>56</v>
      </c>
      <c r="J4" s="17" t="s">
        <v>57</v>
      </c>
    </row>
    <row r="5" spans="1:10" ht="25.5" x14ac:dyDescent="0.25">
      <c r="A5" s="20">
        <v>2</v>
      </c>
      <c r="B5" s="12" t="s">
        <v>58</v>
      </c>
      <c r="C5" s="21" t="s">
        <v>59</v>
      </c>
      <c r="D5" s="12" t="s">
        <v>60</v>
      </c>
      <c r="E5" s="21" t="s">
        <v>61</v>
      </c>
      <c r="F5" s="12" t="s">
        <v>62</v>
      </c>
      <c r="G5" s="12" t="s">
        <v>63</v>
      </c>
      <c r="H5" s="19"/>
      <c r="I5" s="19" t="s">
        <v>56</v>
      </c>
      <c r="J5" s="12" t="s">
        <v>64</v>
      </c>
    </row>
    <row r="6" spans="1:10" ht="25.5" x14ac:dyDescent="0.25">
      <c r="A6" s="16">
        <v>3</v>
      </c>
      <c r="B6" s="17" t="s">
        <v>65</v>
      </c>
      <c r="C6" s="18" t="s">
        <v>66</v>
      </c>
      <c r="D6" s="17" t="s">
        <v>67</v>
      </c>
      <c r="E6" s="18" t="s">
        <v>68</v>
      </c>
      <c r="F6" s="17" t="s">
        <v>69</v>
      </c>
      <c r="G6" s="17" t="s">
        <v>70</v>
      </c>
      <c r="H6" s="19"/>
      <c r="I6" s="19" t="s">
        <v>56</v>
      </c>
      <c r="J6" s="17" t="s">
        <v>71</v>
      </c>
    </row>
    <row r="7" spans="1:10" ht="25.5" x14ac:dyDescent="0.25">
      <c r="A7" s="20">
        <v>4</v>
      </c>
      <c r="B7" s="12" t="s">
        <v>72</v>
      </c>
      <c r="C7" s="21" t="s">
        <v>73</v>
      </c>
      <c r="D7" s="12" t="s">
        <v>74</v>
      </c>
      <c r="E7" s="21" t="s">
        <v>75</v>
      </c>
      <c r="F7" s="12" t="s">
        <v>76</v>
      </c>
      <c r="G7" s="12" t="s">
        <v>77</v>
      </c>
      <c r="H7" s="19"/>
      <c r="I7" s="19" t="s">
        <v>56</v>
      </c>
      <c r="J7" s="12" t="s">
        <v>78</v>
      </c>
    </row>
    <row r="8" spans="1:10" ht="25.5" x14ac:dyDescent="0.25">
      <c r="A8" s="16">
        <v>5</v>
      </c>
      <c r="B8" s="17" t="s">
        <v>79</v>
      </c>
      <c r="C8" s="18" t="s">
        <v>80</v>
      </c>
      <c r="D8" s="17" t="s">
        <v>81</v>
      </c>
      <c r="E8" s="18" t="s">
        <v>82</v>
      </c>
      <c r="F8" s="17" t="s">
        <v>83</v>
      </c>
      <c r="G8" s="17" t="s">
        <v>84</v>
      </c>
      <c r="H8" s="19"/>
      <c r="I8" s="19" t="s">
        <v>56</v>
      </c>
      <c r="J8" s="17" t="s">
        <v>85</v>
      </c>
    </row>
    <row r="9" spans="1:10" ht="25.5" x14ac:dyDescent="0.25">
      <c r="A9" s="20">
        <v>6</v>
      </c>
      <c r="B9" s="12" t="s">
        <v>86</v>
      </c>
      <c r="C9" s="21" t="s">
        <v>87</v>
      </c>
      <c r="D9" s="12" t="s">
        <v>88</v>
      </c>
      <c r="E9" s="21" t="s">
        <v>89</v>
      </c>
      <c r="F9" s="12" t="s">
        <v>90</v>
      </c>
      <c r="G9" s="12" t="s">
        <v>91</v>
      </c>
      <c r="H9" s="19"/>
      <c r="I9" s="19" t="s">
        <v>56</v>
      </c>
      <c r="J9" s="12" t="s">
        <v>92</v>
      </c>
    </row>
    <row r="10" spans="1:10" ht="36" x14ac:dyDescent="0.25">
      <c r="A10" s="16">
        <v>7</v>
      </c>
      <c r="B10" s="17" t="s">
        <v>93</v>
      </c>
      <c r="C10" s="18" t="s">
        <v>94</v>
      </c>
      <c r="D10" s="17" t="s">
        <v>95</v>
      </c>
      <c r="E10" s="18" t="s">
        <v>96</v>
      </c>
      <c r="F10" s="17" t="s">
        <v>97</v>
      </c>
      <c r="G10" s="17" t="s">
        <v>98</v>
      </c>
      <c r="H10" s="19"/>
      <c r="I10" s="19" t="s">
        <v>56</v>
      </c>
      <c r="J10" s="17" t="s">
        <v>99</v>
      </c>
    </row>
    <row r="11" spans="1:10" ht="25.5" x14ac:dyDescent="0.25">
      <c r="A11" s="20">
        <v>8</v>
      </c>
      <c r="B11" s="12" t="s">
        <v>100</v>
      </c>
      <c r="C11" s="21" t="s">
        <v>101</v>
      </c>
      <c r="D11" s="12" t="s">
        <v>102</v>
      </c>
      <c r="E11" s="21" t="s">
        <v>103</v>
      </c>
      <c r="F11" s="12" t="s">
        <v>104</v>
      </c>
      <c r="G11" s="12" t="s">
        <v>105</v>
      </c>
      <c r="H11" s="19"/>
      <c r="I11" s="19" t="s">
        <v>56</v>
      </c>
      <c r="J11" s="12" t="s">
        <v>106</v>
      </c>
    </row>
    <row r="12" spans="1:10" ht="25.5" x14ac:dyDescent="0.25">
      <c r="A12" s="16">
        <v>9</v>
      </c>
      <c r="B12" s="17" t="s">
        <v>107</v>
      </c>
      <c r="C12" s="18" t="s">
        <v>108</v>
      </c>
      <c r="D12" s="17" t="s">
        <v>109</v>
      </c>
      <c r="E12" s="18" t="s">
        <v>110</v>
      </c>
      <c r="F12" s="17" t="s">
        <v>111</v>
      </c>
      <c r="G12" s="17" t="s">
        <v>112</v>
      </c>
      <c r="H12" s="19"/>
      <c r="I12" s="19" t="s">
        <v>56</v>
      </c>
      <c r="J12" s="17"/>
    </row>
  </sheetData>
  <mergeCells count="2">
    <mergeCell ref="A1:J1"/>
    <mergeCell ref="A2:J2"/>
  </mergeCells>
  <dataValidations count="1">
    <dataValidation type="list" allowBlank="1" sqref="I4:I12" xr:uid="{00000000-0002-0000-0100-000000000000}">
      <formula1>"TODO,DONE,N/A"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J1"/>
    </sheetView>
  </sheetViews>
  <sheetFormatPr defaultColWidth="8.5703125" defaultRowHeight="15" x14ac:dyDescent="0.25"/>
  <cols>
    <col min="1" max="1" width="5" customWidth="1"/>
    <col min="2" max="2" width="34" customWidth="1"/>
    <col min="3" max="3" width="44" customWidth="1"/>
    <col min="4" max="4" width="34" customWidth="1"/>
    <col min="5" max="5" width="30" customWidth="1"/>
    <col min="6" max="6" width="28" customWidth="1"/>
    <col min="7" max="7" width="42" customWidth="1"/>
    <col min="8" max="8" width="26" customWidth="1"/>
    <col min="9" max="9" width="9" customWidth="1"/>
    <col min="10" max="10" width="34" customWidth="1"/>
  </cols>
  <sheetData>
    <row r="1" spans="1:10" ht="16.5" x14ac:dyDescent="0.25">
      <c r="A1" s="2" t="s">
        <v>113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114</v>
      </c>
      <c r="B2" s="1"/>
      <c r="C2" s="1"/>
      <c r="D2" s="1"/>
      <c r="E2" s="1"/>
      <c r="F2" s="1"/>
      <c r="G2" s="1"/>
      <c r="H2" s="1"/>
      <c r="I2" s="1"/>
      <c r="J2" s="1"/>
    </row>
    <row r="3" spans="1:10" ht="25.5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8</v>
      </c>
      <c r="J3" s="9" t="s">
        <v>49</v>
      </c>
    </row>
    <row r="4" spans="1:10" x14ac:dyDescent="0.25">
      <c r="A4" s="16">
        <v>1</v>
      </c>
      <c r="B4" s="17" t="s">
        <v>115</v>
      </c>
      <c r="C4" s="18" t="s">
        <v>116</v>
      </c>
      <c r="D4" s="17" t="s">
        <v>117</v>
      </c>
      <c r="E4" s="18" t="s">
        <v>118</v>
      </c>
      <c r="F4" s="17" t="s">
        <v>119</v>
      </c>
      <c r="G4" s="17" t="s">
        <v>120</v>
      </c>
      <c r="H4" s="19"/>
      <c r="I4" s="19" t="s">
        <v>56</v>
      </c>
      <c r="J4" s="17"/>
    </row>
    <row r="5" spans="1:10" ht="25.5" x14ac:dyDescent="0.25">
      <c r="A5" s="20">
        <v>2</v>
      </c>
      <c r="B5" s="12" t="s">
        <v>121</v>
      </c>
      <c r="C5" s="21" t="s">
        <v>122</v>
      </c>
      <c r="D5" s="12" t="s">
        <v>123</v>
      </c>
      <c r="E5" s="21" t="s">
        <v>110</v>
      </c>
      <c r="F5" s="12" t="s">
        <v>124</v>
      </c>
      <c r="G5" s="12" t="s">
        <v>125</v>
      </c>
      <c r="H5" s="19"/>
      <c r="I5" s="19" t="s">
        <v>56</v>
      </c>
      <c r="J5" s="12"/>
    </row>
    <row r="6" spans="1:10" ht="25.5" x14ac:dyDescent="0.25">
      <c r="A6" s="16">
        <v>3</v>
      </c>
      <c r="B6" s="17" t="s">
        <v>126</v>
      </c>
      <c r="C6" s="18" t="s">
        <v>127</v>
      </c>
      <c r="D6" s="17" t="s">
        <v>128</v>
      </c>
      <c r="E6" s="18" t="s">
        <v>129</v>
      </c>
      <c r="F6" s="17" t="s">
        <v>130</v>
      </c>
      <c r="G6" s="17" t="s">
        <v>131</v>
      </c>
      <c r="H6" s="19"/>
      <c r="I6" s="19" t="s">
        <v>56</v>
      </c>
      <c r="J6" s="17" t="s">
        <v>132</v>
      </c>
    </row>
    <row r="7" spans="1:10" ht="25.5" x14ac:dyDescent="0.25">
      <c r="A7" s="20">
        <v>4</v>
      </c>
      <c r="B7" s="12" t="s">
        <v>133</v>
      </c>
      <c r="C7" s="21" t="s">
        <v>134</v>
      </c>
      <c r="D7" s="12" t="s">
        <v>135</v>
      </c>
      <c r="E7" s="21" t="s">
        <v>129</v>
      </c>
      <c r="F7" s="12" t="s">
        <v>129</v>
      </c>
      <c r="G7" s="12" t="s">
        <v>136</v>
      </c>
      <c r="H7" s="19"/>
      <c r="I7" s="19" t="s">
        <v>56</v>
      </c>
      <c r="J7" s="12" t="s">
        <v>137</v>
      </c>
    </row>
    <row r="8" spans="1:10" ht="25.5" x14ac:dyDescent="0.25">
      <c r="A8" s="16">
        <v>5</v>
      </c>
      <c r="B8" s="17" t="s">
        <v>138</v>
      </c>
      <c r="C8" s="18" t="s">
        <v>139</v>
      </c>
      <c r="D8" s="17" t="s">
        <v>135</v>
      </c>
      <c r="E8" s="18" t="s">
        <v>129</v>
      </c>
      <c r="F8" s="17" t="s">
        <v>129</v>
      </c>
      <c r="G8" s="17" t="s">
        <v>140</v>
      </c>
      <c r="H8" s="19"/>
      <c r="I8" s="19" t="s">
        <v>56</v>
      </c>
      <c r="J8" s="17" t="s">
        <v>141</v>
      </c>
    </row>
    <row r="9" spans="1:10" ht="25.5" x14ac:dyDescent="0.25">
      <c r="A9" s="20">
        <v>6</v>
      </c>
      <c r="B9" s="12" t="s">
        <v>142</v>
      </c>
      <c r="C9" s="21" t="s">
        <v>143</v>
      </c>
      <c r="D9" s="12" t="s">
        <v>135</v>
      </c>
      <c r="E9" s="21" t="s">
        <v>129</v>
      </c>
      <c r="F9" s="12" t="s">
        <v>129</v>
      </c>
      <c r="G9" s="12" t="s">
        <v>144</v>
      </c>
      <c r="H9" s="19"/>
      <c r="I9" s="19" t="s">
        <v>56</v>
      </c>
      <c r="J9" s="12" t="s">
        <v>145</v>
      </c>
    </row>
  </sheetData>
  <mergeCells count="2">
    <mergeCell ref="A1:J1"/>
    <mergeCell ref="A2:J2"/>
  </mergeCells>
  <dataValidations count="1">
    <dataValidation type="list" allowBlank="1" sqref="I4:I9" xr:uid="{00000000-0002-0000-0200-000000000000}">
      <formula1>"TODO,DONE,N/A"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J1"/>
    </sheetView>
  </sheetViews>
  <sheetFormatPr defaultColWidth="8.5703125" defaultRowHeight="15" x14ac:dyDescent="0.25"/>
  <cols>
    <col min="1" max="1" width="5" customWidth="1"/>
    <col min="2" max="2" width="34" customWidth="1"/>
    <col min="3" max="3" width="44" customWidth="1"/>
    <col min="4" max="4" width="34" customWidth="1"/>
    <col min="5" max="5" width="30" customWidth="1"/>
    <col min="6" max="6" width="28" customWidth="1"/>
    <col min="7" max="7" width="42" customWidth="1"/>
    <col min="8" max="8" width="26" customWidth="1"/>
    <col min="9" max="9" width="9" customWidth="1"/>
    <col min="10" max="10" width="34" customWidth="1"/>
  </cols>
  <sheetData>
    <row r="1" spans="1:10" ht="16.5" x14ac:dyDescent="0.25">
      <c r="A1" s="2" t="s">
        <v>146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147</v>
      </c>
      <c r="B2" s="1"/>
      <c r="C2" s="1"/>
      <c r="D2" s="1"/>
      <c r="E2" s="1"/>
      <c r="F2" s="1"/>
      <c r="G2" s="1"/>
      <c r="H2" s="1"/>
      <c r="I2" s="1"/>
      <c r="J2" s="1"/>
    </row>
    <row r="3" spans="1:10" ht="25.5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8</v>
      </c>
      <c r="J3" s="9" t="s">
        <v>49</v>
      </c>
    </row>
    <row r="4" spans="1:10" ht="25.5" x14ac:dyDescent="0.25">
      <c r="A4" s="16">
        <v>1</v>
      </c>
      <c r="B4" s="17" t="s">
        <v>148</v>
      </c>
      <c r="C4" s="18" t="s">
        <v>149</v>
      </c>
      <c r="D4" s="17" t="s">
        <v>135</v>
      </c>
      <c r="E4" s="18" t="s">
        <v>129</v>
      </c>
      <c r="F4" s="17" t="s">
        <v>150</v>
      </c>
      <c r="G4" s="17" t="s">
        <v>151</v>
      </c>
      <c r="H4" s="19"/>
      <c r="I4" s="19" t="s">
        <v>56</v>
      </c>
      <c r="J4" s="17" t="s">
        <v>152</v>
      </c>
    </row>
    <row r="5" spans="1:10" ht="38.25" x14ac:dyDescent="0.25">
      <c r="A5" s="20">
        <v>2</v>
      </c>
      <c r="B5" s="12" t="s">
        <v>153</v>
      </c>
      <c r="C5" s="21" t="s">
        <v>154</v>
      </c>
      <c r="D5" s="12" t="s">
        <v>155</v>
      </c>
      <c r="E5" s="21" t="s">
        <v>156</v>
      </c>
      <c r="F5" s="12" t="s">
        <v>157</v>
      </c>
      <c r="G5" s="12" t="s">
        <v>158</v>
      </c>
      <c r="H5" s="19"/>
      <c r="I5" s="19" t="s">
        <v>56</v>
      </c>
      <c r="J5" s="12" t="s">
        <v>159</v>
      </c>
    </row>
    <row r="6" spans="1:10" ht="25.5" x14ac:dyDescent="0.25">
      <c r="A6" s="16">
        <v>3</v>
      </c>
      <c r="B6" s="17" t="s">
        <v>160</v>
      </c>
      <c r="C6" s="18" t="s">
        <v>161</v>
      </c>
      <c r="D6" s="17" t="s">
        <v>162</v>
      </c>
      <c r="E6" s="18" t="s">
        <v>68</v>
      </c>
      <c r="F6" s="17" t="s">
        <v>163</v>
      </c>
      <c r="G6" s="17" t="s">
        <v>164</v>
      </c>
      <c r="H6" s="19"/>
      <c r="I6" s="19" t="s">
        <v>56</v>
      </c>
      <c r="J6" s="17" t="s">
        <v>165</v>
      </c>
    </row>
    <row r="7" spans="1:10" x14ac:dyDescent="0.25">
      <c r="A7" s="20">
        <v>4</v>
      </c>
      <c r="B7" s="12" t="s">
        <v>166</v>
      </c>
      <c r="C7" s="21" t="s">
        <v>167</v>
      </c>
      <c r="D7" s="12" t="s">
        <v>168</v>
      </c>
      <c r="E7" s="21" t="s">
        <v>169</v>
      </c>
      <c r="F7" s="12" t="s">
        <v>170</v>
      </c>
      <c r="G7" s="12" t="s">
        <v>171</v>
      </c>
      <c r="H7" s="19"/>
      <c r="I7" s="19" t="s">
        <v>56</v>
      </c>
      <c r="J7" s="12"/>
    </row>
    <row r="8" spans="1:10" x14ac:dyDescent="0.25">
      <c r="A8" s="16">
        <v>5</v>
      </c>
      <c r="B8" s="17" t="s">
        <v>172</v>
      </c>
      <c r="C8" s="18" t="s">
        <v>173</v>
      </c>
      <c r="D8" s="17" t="s">
        <v>174</v>
      </c>
      <c r="E8" s="18" t="s">
        <v>75</v>
      </c>
      <c r="F8" s="17" t="s">
        <v>175</v>
      </c>
      <c r="G8" s="17" t="s">
        <v>176</v>
      </c>
      <c r="H8" s="19"/>
      <c r="I8" s="19" t="s">
        <v>56</v>
      </c>
      <c r="J8" s="17" t="s">
        <v>177</v>
      </c>
    </row>
    <row r="9" spans="1:10" ht="25.5" x14ac:dyDescent="0.25">
      <c r="A9" s="20">
        <v>6</v>
      </c>
      <c r="B9" s="12" t="s">
        <v>178</v>
      </c>
      <c r="C9" s="21" t="s">
        <v>179</v>
      </c>
      <c r="D9" s="12" t="s">
        <v>180</v>
      </c>
      <c r="E9" s="21" t="s">
        <v>82</v>
      </c>
      <c r="F9" s="12" t="s">
        <v>181</v>
      </c>
      <c r="G9" s="12" t="s">
        <v>182</v>
      </c>
      <c r="H9" s="19"/>
      <c r="I9" s="19" t="s">
        <v>56</v>
      </c>
      <c r="J9" s="12" t="s">
        <v>183</v>
      </c>
    </row>
    <row r="10" spans="1:10" ht="25.5" x14ac:dyDescent="0.25">
      <c r="A10" s="16">
        <v>7</v>
      </c>
      <c r="B10" s="17" t="s">
        <v>184</v>
      </c>
      <c r="C10" s="18" t="s">
        <v>185</v>
      </c>
      <c r="D10" s="17" t="s">
        <v>186</v>
      </c>
      <c r="E10" s="18" t="s">
        <v>187</v>
      </c>
      <c r="F10" s="17" t="s">
        <v>129</v>
      </c>
      <c r="G10" s="17" t="s">
        <v>188</v>
      </c>
      <c r="H10" s="19"/>
      <c r="I10" s="19" t="s">
        <v>56</v>
      </c>
      <c r="J10" s="17" t="s">
        <v>189</v>
      </c>
    </row>
    <row r="11" spans="1:10" ht="24" x14ac:dyDescent="0.25">
      <c r="A11" s="20">
        <v>8</v>
      </c>
      <c r="B11" s="12" t="s">
        <v>190</v>
      </c>
      <c r="C11" s="21" t="s">
        <v>191</v>
      </c>
      <c r="D11" s="12" t="s">
        <v>192</v>
      </c>
      <c r="E11" s="21" t="s">
        <v>193</v>
      </c>
      <c r="F11" s="12" t="s">
        <v>194</v>
      </c>
      <c r="G11" s="12" t="s">
        <v>195</v>
      </c>
      <c r="H11" s="19"/>
      <c r="I11" s="19" t="s">
        <v>56</v>
      </c>
      <c r="J11" s="12"/>
    </row>
    <row r="12" spans="1:10" ht="25.5" x14ac:dyDescent="0.25">
      <c r="A12" s="16">
        <v>9</v>
      </c>
      <c r="B12" s="17" t="s">
        <v>196</v>
      </c>
      <c r="C12" s="18" t="s">
        <v>197</v>
      </c>
      <c r="D12" s="17" t="s">
        <v>135</v>
      </c>
      <c r="E12" s="18" t="s">
        <v>129</v>
      </c>
      <c r="F12" s="17" t="s">
        <v>129</v>
      </c>
      <c r="G12" s="17" t="s">
        <v>198</v>
      </c>
      <c r="H12" s="19"/>
      <c r="I12" s="19" t="s">
        <v>56</v>
      </c>
      <c r="J12" s="17" t="s">
        <v>199</v>
      </c>
    </row>
  </sheetData>
  <mergeCells count="2">
    <mergeCell ref="A1:J1"/>
    <mergeCell ref="A2:J2"/>
  </mergeCells>
  <dataValidations count="1">
    <dataValidation type="list" allowBlank="1" sqref="I4:I12" xr:uid="{00000000-0002-0000-0300-000000000000}">
      <formula1>"TODO,DONE,N/A"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tabSelected="1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J1"/>
    </sheetView>
  </sheetViews>
  <sheetFormatPr defaultColWidth="8.5703125" defaultRowHeight="15" x14ac:dyDescent="0.25"/>
  <cols>
    <col min="1" max="1" width="5" customWidth="1"/>
    <col min="2" max="2" width="34" customWidth="1"/>
    <col min="3" max="3" width="44" customWidth="1"/>
    <col min="4" max="4" width="34" customWidth="1"/>
    <col min="5" max="5" width="30" customWidth="1"/>
    <col min="6" max="6" width="28" customWidth="1"/>
    <col min="7" max="7" width="42" customWidth="1"/>
    <col min="8" max="8" width="26" customWidth="1"/>
    <col min="9" max="9" width="9" customWidth="1"/>
    <col min="10" max="10" width="34" customWidth="1"/>
  </cols>
  <sheetData>
    <row r="1" spans="1:10" ht="16.5" x14ac:dyDescent="0.25">
      <c r="A1" s="2" t="s">
        <v>200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201</v>
      </c>
      <c r="B2" s="1"/>
      <c r="C2" s="1"/>
      <c r="D2" s="1"/>
      <c r="E2" s="1"/>
      <c r="F2" s="1"/>
      <c r="G2" s="1"/>
      <c r="H2" s="1"/>
      <c r="I2" s="1"/>
      <c r="J2" s="1"/>
    </row>
    <row r="3" spans="1:10" ht="25.5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8</v>
      </c>
      <c r="J3" s="9" t="s">
        <v>49</v>
      </c>
    </row>
    <row r="4" spans="1:10" ht="48" x14ac:dyDescent="0.25">
      <c r="A4" s="16">
        <v>1</v>
      </c>
      <c r="B4" s="17" t="s">
        <v>202</v>
      </c>
      <c r="C4" s="18" t="s">
        <v>203</v>
      </c>
      <c r="D4" s="17" t="s">
        <v>204</v>
      </c>
      <c r="E4" s="18" t="s">
        <v>205</v>
      </c>
      <c r="F4" s="17" t="s">
        <v>206</v>
      </c>
      <c r="G4" s="17" t="s">
        <v>207</v>
      </c>
      <c r="H4" s="19"/>
      <c r="I4" s="19" t="s">
        <v>56</v>
      </c>
      <c r="J4" s="17" t="s">
        <v>208</v>
      </c>
    </row>
    <row r="5" spans="1:10" ht="25.5" x14ac:dyDescent="0.25">
      <c r="A5" s="20">
        <v>2</v>
      </c>
      <c r="B5" s="12" t="s">
        <v>209</v>
      </c>
      <c r="C5" s="21" t="s">
        <v>210</v>
      </c>
      <c r="D5" s="12" t="s">
        <v>211</v>
      </c>
      <c r="E5" s="21" t="s">
        <v>212</v>
      </c>
      <c r="F5" s="12" t="s">
        <v>213</v>
      </c>
      <c r="G5" s="12" t="s">
        <v>214</v>
      </c>
      <c r="H5" s="19"/>
      <c r="I5" s="19" t="s">
        <v>56</v>
      </c>
      <c r="J5" s="12" t="s">
        <v>215</v>
      </c>
    </row>
    <row r="6" spans="1:10" ht="25.5" x14ac:dyDescent="0.25">
      <c r="A6" s="16">
        <v>3</v>
      </c>
      <c r="B6" s="17" t="s">
        <v>216</v>
      </c>
      <c r="C6" s="18" t="s">
        <v>203</v>
      </c>
      <c r="D6" s="17" t="s">
        <v>217</v>
      </c>
      <c r="E6" s="18" t="s">
        <v>218</v>
      </c>
      <c r="F6" s="17" t="s">
        <v>219</v>
      </c>
      <c r="G6" s="17" t="s">
        <v>220</v>
      </c>
      <c r="H6" s="19"/>
      <c r="I6" s="19" t="s">
        <v>56</v>
      </c>
      <c r="J6" s="17" t="s">
        <v>221</v>
      </c>
    </row>
    <row r="7" spans="1:10" ht="25.5" x14ac:dyDescent="0.25">
      <c r="A7" s="20">
        <v>4</v>
      </c>
      <c r="B7" s="12" t="s">
        <v>222</v>
      </c>
      <c r="C7" s="21" t="s">
        <v>203</v>
      </c>
      <c r="D7" s="12" t="s">
        <v>223</v>
      </c>
      <c r="E7" s="21" t="s">
        <v>224</v>
      </c>
      <c r="F7" s="12" t="s">
        <v>225</v>
      </c>
      <c r="G7" s="12" t="s">
        <v>226</v>
      </c>
      <c r="H7" s="19"/>
      <c r="I7" s="19" t="s">
        <v>56</v>
      </c>
      <c r="J7" s="12" t="s">
        <v>227</v>
      </c>
    </row>
    <row r="8" spans="1:10" ht="38.25" x14ac:dyDescent="0.25">
      <c r="A8" s="16">
        <v>5</v>
      </c>
      <c r="B8" s="17" t="s">
        <v>228</v>
      </c>
      <c r="C8" s="18" t="s">
        <v>203</v>
      </c>
      <c r="D8" s="17" t="s">
        <v>229</v>
      </c>
      <c r="E8" s="18" t="s">
        <v>230</v>
      </c>
      <c r="F8" s="17" t="s">
        <v>165</v>
      </c>
      <c r="G8" s="17" t="s">
        <v>231</v>
      </c>
      <c r="H8" s="19"/>
      <c r="I8" s="19" t="s">
        <v>56</v>
      </c>
      <c r="J8" s="17" t="s">
        <v>232</v>
      </c>
    </row>
    <row r="9" spans="1:10" ht="38.25" x14ac:dyDescent="0.25">
      <c r="A9" s="20">
        <v>6</v>
      </c>
      <c r="B9" s="12" t="s">
        <v>233</v>
      </c>
      <c r="C9" s="21" t="s">
        <v>203</v>
      </c>
      <c r="D9" s="12" t="s">
        <v>234</v>
      </c>
      <c r="E9" s="21" t="s">
        <v>235</v>
      </c>
      <c r="F9" s="12" t="s">
        <v>236</v>
      </c>
      <c r="G9" s="12" t="s">
        <v>237</v>
      </c>
      <c r="H9" s="19"/>
      <c r="I9" s="19" t="s">
        <v>56</v>
      </c>
      <c r="J9" s="12" t="s">
        <v>238</v>
      </c>
    </row>
    <row r="10" spans="1:10" ht="25.5" x14ac:dyDescent="0.25">
      <c r="A10" s="16">
        <v>7</v>
      </c>
      <c r="B10" s="17" t="s">
        <v>239</v>
      </c>
      <c r="C10" s="18" t="s">
        <v>240</v>
      </c>
      <c r="D10" s="17" t="s">
        <v>241</v>
      </c>
      <c r="E10" s="18" t="s">
        <v>242</v>
      </c>
      <c r="F10" s="17" t="s">
        <v>243</v>
      </c>
      <c r="G10" s="17" t="s">
        <v>244</v>
      </c>
      <c r="H10" s="19"/>
      <c r="I10" s="19" t="s">
        <v>56</v>
      </c>
      <c r="J10" s="17" t="s">
        <v>245</v>
      </c>
    </row>
    <row r="11" spans="1:10" ht="24" x14ac:dyDescent="0.25">
      <c r="A11" s="20">
        <v>8</v>
      </c>
      <c r="B11" s="12" t="s">
        <v>246</v>
      </c>
      <c r="C11" s="21" t="s">
        <v>247</v>
      </c>
      <c r="D11" s="12" t="s">
        <v>135</v>
      </c>
      <c r="E11" s="21" t="s">
        <v>129</v>
      </c>
      <c r="F11" s="12" t="s">
        <v>129</v>
      </c>
      <c r="G11" s="12" t="s">
        <v>248</v>
      </c>
      <c r="H11" s="19"/>
      <c r="I11" s="19" t="s">
        <v>56</v>
      </c>
      <c r="J11" s="12"/>
    </row>
    <row r="12" spans="1:10" x14ac:dyDescent="0.25">
      <c r="A12" s="16">
        <v>9</v>
      </c>
      <c r="B12" s="17" t="s">
        <v>249</v>
      </c>
      <c r="C12" s="18" t="s">
        <v>250</v>
      </c>
      <c r="D12" s="17" t="s">
        <v>135</v>
      </c>
      <c r="E12" s="18" t="s">
        <v>129</v>
      </c>
      <c r="F12" s="17" t="s">
        <v>129</v>
      </c>
      <c r="G12" s="17" t="s">
        <v>251</v>
      </c>
      <c r="H12" s="19"/>
      <c r="I12" s="19" t="s">
        <v>56</v>
      </c>
      <c r="J12" s="17" t="s">
        <v>252</v>
      </c>
    </row>
    <row r="13" spans="1:10" ht="25.5" x14ac:dyDescent="0.25">
      <c r="A13" s="20">
        <v>10</v>
      </c>
      <c r="B13" s="12" t="s">
        <v>253</v>
      </c>
      <c r="C13" s="21" t="s">
        <v>254</v>
      </c>
      <c r="D13" s="12" t="s">
        <v>135</v>
      </c>
      <c r="E13" s="21" t="s">
        <v>129</v>
      </c>
      <c r="F13" s="12" t="s">
        <v>129</v>
      </c>
      <c r="G13" s="12" t="s">
        <v>255</v>
      </c>
      <c r="H13" s="19"/>
      <c r="I13" s="19" t="s">
        <v>56</v>
      </c>
      <c r="J13" s="12" t="s">
        <v>256</v>
      </c>
    </row>
  </sheetData>
  <mergeCells count="2">
    <mergeCell ref="A1:J1"/>
    <mergeCell ref="A2:J2"/>
  </mergeCells>
  <dataValidations count="1">
    <dataValidation type="list" allowBlank="1" sqref="I4:I13" xr:uid="{00000000-0002-0000-0400-000000000000}">
      <formula1>"TODO,DONE,N/A"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5703125" defaultRowHeight="15" x14ac:dyDescent="0.25"/>
  <cols>
    <col min="1" max="1" width="5" customWidth="1"/>
    <col min="2" max="2" width="34" customWidth="1"/>
    <col min="3" max="3" width="44" customWidth="1"/>
    <col min="4" max="4" width="34" customWidth="1"/>
    <col min="5" max="5" width="30" customWidth="1"/>
    <col min="6" max="6" width="28" customWidth="1"/>
    <col min="7" max="7" width="42" customWidth="1"/>
    <col min="8" max="8" width="26" customWidth="1"/>
    <col min="9" max="9" width="9" customWidth="1"/>
    <col min="10" max="10" width="34" customWidth="1"/>
  </cols>
  <sheetData>
    <row r="1" spans="1:10" ht="16.5" x14ac:dyDescent="0.25">
      <c r="A1" s="2" t="s">
        <v>257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258</v>
      </c>
      <c r="B2" s="1"/>
      <c r="C2" s="1"/>
      <c r="D2" s="1"/>
      <c r="E2" s="1"/>
      <c r="F2" s="1"/>
      <c r="G2" s="1"/>
      <c r="H2" s="1"/>
      <c r="I2" s="1"/>
      <c r="J2" s="1"/>
    </row>
    <row r="3" spans="1:10" ht="25.5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8</v>
      </c>
      <c r="J3" s="9" t="s">
        <v>49</v>
      </c>
    </row>
    <row r="4" spans="1:10" ht="25.5" x14ac:dyDescent="0.25">
      <c r="A4" s="16">
        <v>1</v>
      </c>
      <c r="B4" s="17" t="s">
        <v>259</v>
      </c>
      <c r="C4" s="18" t="s">
        <v>260</v>
      </c>
      <c r="D4" s="17" t="s">
        <v>261</v>
      </c>
      <c r="E4" s="18" t="s">
        <v>262</v>
      </c>
      <c r="F4" s="17" t="s">
        <v>219</v>
      </c>
      <c r="G4" s="17" t="s">
        <v>263</v>
      </c>
      <c r="H4" s="19"/>
      <c r="I4" s="19" t="s">
        <v>56</v>
      </c>
      <c r="J4" s="17" t="s">
        <v>264</v>
      </c>
    </row>
    <row r="5" spans="1:10" x14ac:dyDescent="0.25">
      <c r="A5" s="20">
        <v>2</v>
      </c>
      <c r="B5" s="12" t="s">
        <v>265</v>
      </c>
      <c r="C5" s="21" t="s">
        <v>266</v>
      </c>
      <c r="D5" s="12" t="s">
        <v>135</v>
      </c>
      <c r="E5" s="21" t="s">
        <v>129</v>
      </c>
      <c r="F5" s="12" t="s">
        <v>267</v>
      </c>
      <c r="G5" s="12" t="s">
        <v>268</v>
      </c>
      <c r="H5" s="19"/>
      <c r="I5" s="19" t="s">
        <v>56</v>
      </c>
      <c r="J5" s="12"/>
    </row>
    <row r="6" spans="1:10" ht="24" x14ac:dyDescent="0.25">
      <c r="A6" s="16">
        <v>3</v>
      </c>
      <c r="B6" s="17" t="s">
        <v>269</v>
      </c>
      <c r="C6" s="18" t="s">
        <v>270</v>
      </c>
      <c r="D6" s="17" t="s">
        <v>135</v>
      </c>
      <c r="E6" s="18" t="s">
        <v>129</v>
      </c>
      <c r="F6" s="17" t="s">
        <v>130</v>
      </c>
      <c r="G6" s="17" t="s">
        <v>271</v>
      </c>
      <c r="H6" s="19"/>
      <c r="I6" s="19" t="s">
        <v>56</v>
      </c>
      <c r="J6" s="17"/>
    </row>
    <row r="7" spans="1:10" ht="38.25" x14ac:dyDescent="0.25">
      <c r="A7" s="20">
        <v>4</v>
      </c>
      <c r="B7" s="12" t="s">
        <v>272</v>
      </c>
      <c r="C7" s="21" t="s">
        <v>273</v>
      </c>
      <c r="D7" s="12" t="s">
        <v>274</v>
      </c>
      <c r="E7" s="21" t="s">
        <v>61</v>
      </c>
      <c r="F7" s="12" t="s">
        <v>219</v>
      </c>
      <c r="G7" s="12" t="s">
        <v>275</v>
      </c>
      <c r="H7" s="19"/>
      <c r="I7" s="19" t="s">
        <v>56</v>
      </c>
      <c r="J7" s="12" t="s">
        <v>276</v>
      </c>
    </row>
    <row r="8" spans="1:10" ht="25.5" x14ac:dyDescent="0.25">
      <c r="A8" s="16">
        <v>5</v>
      </c>
      <c r="B8" s="17" t="s">
        <v>277</v>
      </c>
      <c r="C8" s="18" t="s">
        <v>278</v>
      </c>
      <c r="D8" s="17" t="s">
        <v>135</v>
      </c>
      <c r="E8" s="18" t="s">
        <v>129</v>
      </c>
      <c r="F8" s="17" t="s">
        <v>129</v>
      </c>
      <c r="G8" s="17" t="s">
        <v>279</v>
      </c>
      <c r="H8" s="19"/>
      <c r="I8" s="19" t="s">
        <v>56</v>
      </c>
      <c r="J8" s="17"/>
    </row>
    <row r="9" spans="1:10" ht="25.5" x14ac:dyDescent="0.25">
      <c r="A9" s="20">
        <v>6</v>
      </c>
      <c r="B9" s="12" t="s">
        <v>280</v>
      </c>
      <c r="C9" s="21" t="s">
        <v>281</v>
      </c>
      <c r="D9" s="12" t="s">
        <v>135</v>
      </c>
      <c r="E9" s="21" t="s">
        <v>129</v>
      </c>
      <c r="F9" s="12" t="s">
        <v>129</v>
      </c>
      <c r="G9" s="12" t="s">
        <v>282</v>
      </c>
      <c r="H9" s="19"/>
      <c r="I9" s="19" t="s">
        <v>56</v>
      </c>
      <c r="J9" s="12" t="s">
        <v>283</v>
      </c>
    </row>
  </sheetData>
  <mergeCells count="2">
    <mergeCell ref="A1:J1"/>
    <mergeCell ref="A2:J2"/>
  </mergeCells>
  <dataValidations count="1">
    <dataValidation type="list" allowBlank="1" sqref="I4:I9" xr:uid="{00000000-0002-0000-0500-000000000000}">
      <formula1>"TODO,DONE,N/A"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5703125" defaultRowHeight="15" x14ac:dyDescent="0.25"/>
  <cols>
    <col min="1" max="1" width="5" customWidth="1"/>
    <col min="2" max="2" width="34" customWidth="1"/>
    <col min="3" max="3" width="44" customWidth="1"/>
    <col min="4" max="4" width="34" customWidth="1"/>
    <col min="5" max="5" width="30" customWidth="1"/>
    <col min="6" max="6" width="28" customWidth="1"/>
    <col min="7" max="7" width="42" customWidth="1"/>
    <col min="8" max="8" width="26" customWidth="1"/>
    <col min="9" max="9" width="9" customWidth="1"/>
    <col min="10" max="10" width="34" customWidth="1"/>
  </cols>
  <sheetData>
    <row r="1" spans="1:10" ht="16.5" x14ac:dyDescent="0.25">
      <c r="A1" s="2" t="s">
        <v>284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285</v>
      </c>
      <c r="B2" s="1"/>
      <c r="C2" s="1"/>
      <c r="D2" s="1"/>
      <c r="E2" s="1"/>
      <c r="F2" s="1"/>
      <c r="G2" s="1"/>
      <c r="H2" s="1"/>
      <c r="I2" s="1"/>
      <c r="J2" s="1"/>
    </row>
    <row r="3" spans="1:10" ht="25.5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8</v>
      </c>
      <c r="J3" s="9" t="s">
        <v>49</v>
      </c>
    </row>
    <row r="4" spans="1:10" ht="25.5" x14ac:dyDescent="0.25">
      <c r="A4" s="16">
        <v>1</v>
      </c>
      <c r="B4" s="17" t="s">
        <v>286</v>
      </c>
      <c r="C4" s="18" t="s">
        <v>287</v>
      </c>
      <c r="D4" s="17" t="s">
        <v>288</v>
      </c>
      <c r="E4" s="18" t="s">
        <v>289</v>
      </c>
      <c r="F4" s="17" t="s">
        <v>290</v>
      </c>
      <c r="G4" s="17" t="s">
        <v>291</v>
      </c>
      <c r="H4" s="19"/>
      <c r="I4" s="19" t="s">
        <v>56</v>
      </c>
      <c r="J4" s="17" t="s">
        <v>292</v>
      </c>
    </row>
    <row r="5" spans="1:10" ht="25.5" x14ac:dyDescent="0.25">
      <c r="A5" s="20">
        <v>2</v>
      </c>
      <c r="B5" s="12" t="s">
        <v>293</v>
      </c>
      <c r="C5" s="21" t="s">
        <v>294</v>
      </c>
      <c r="D5" s="12" t="s">
        <v>295</v>
      </c>
      <c r="E5" s="21" t="s">
        <v>296</v>
      </c>
      <c r="F5" s="12" t="s">
        <v>297</v>
      </c>
      <c r="G5" s="12" t="s">
        <v>298</v>
      </c>
      <c r="H5" s="19"/>
      <c r="I5" s="19" t="s">
        <v>56</v>
      </c>
      <c r="J5" s="12" t="s">
        <v>299</v>
      </c>
    </row>
    <row r="6" spans="1:10" ht="25.5" x14ac:dyDescent="0.25">
      <c r="A6" s="16">
        <v>3</v>
      </c>
      <c r="B6" s="17" t="s">
        <v>300</v>
      </c>
      <c r="C6" s="18" t="s">
        <v>301</v>
      </c>
      <c r="D6" s="17" t="s">
        <v>302</v>
      </c>
      <c r="E6" s="18" t="s">
        <v>303</v>
      </c>
      <c r="F6" s="17" t="s">
        <v>304</v>
      </c>
      <c r="G6" s="17" t="s">
        <v>305</v>
      </c>
      <c r="H6" s="19"/>
      <c r="I6" s="19" t="s">
        <v>56</v>
      </c>
      <c r="J6" s="17"/>
    </row>
    <row r="7" spans="1:10" ht="36" x14ac:dyDescent="0.25">
      <c r="A7" s="20">
        <v>4</v>
      </c>
      <c r="B7" s="12" t="s">
        <v>306</v>
      </c>
      <c r="C7" s="21" t="s">
        <v>307</v>
      </c>
      <c r="D7" s="12" t="s">
        <v>308</v>
      </c>
      <c r="E7" s="21" t="s">
        <v>309</v>
      </c>
      <c r="F7" s="12" t="s">
        <v>310</v>
      </c>
      <c r="G7" s="12" t="s">
        <v>311</v>
      </c>
      <c r="H7" s="19"/>
      <c r="I7" s="19" t="s">
        <v>56</v>
      </c>
      <c r="J7" s="12" t="s">
        <v>312</v>
      </c>
    </row>
    <row r="8" spans="1:10" ht="25.5" x14ac:dyDescent="0.25">
      <c r="A8" s="16">
        <v>5</v>
      </c>
      <c r="B8" s="17" t="s">
        <v>313</v>
      </c>
      <c r="C8" s="18" t="s">
        <v>314</v>
      </c>
      <c r="D8" s="17" t="s">
        <v>315</v>
      </c>
      <c r="E8" s="18" t="s">
        <v>316</v>
      </c>
      <c r="F8" s="17" t="s">
        <v>317</v>
      </c>
      <c r="G8" s="17" t="s">
        <v>318</v>
      </c>
      <c r="H8" s="19"/>
      <c r="I8" s="19" t="s">
        <v>56</v>
      </c>
      <c r="J8" s="17" t="s">
        <v>319</v>
      </c>
    </row>
    <row r="9" spans="1:10" ht="60" x14ac:dyDescent="0.25">
      <c r="A9" s="20">
        <v>6</v>
      </c>
      <c r="B9" s="12" t="s">
        <v>320</v>
      </c>
      <c r="C9" s="21" t="s">
        <v>321</v>
      </c>
      <c r="D9" s="12" t="s">
        <v>135</v>
      </c>
      <c r="E9" s="21" t="s">
        <v>129</v>
      </c>
      <c r="F9" s="12" t="s">
        <v>130</v>
      </c>
      <c r="G9" s="12" t="s">
        <v>322</v>
      </c>
      <c r="H9" s="19"/>
      <c r="I9" s="19" t="s">
        <v>56</v>
      </c>
      <c r="J9" s="12" t="s">
        <v>323</v>
      </c>
    </row>
    <row r="10" spans="1:10" ht="25.5" x14ac:dyDescent="0.25">
      <c r="A10" s="16">
        <v>7</v>
      </c>
      <c r="B10" s="17" t="s">
        <v>324</v>
      </c>
      <c r="C10" s="18" t="s">
        <v>325</v>
      </c>
      <c r="D10" s="17" t="s">
        <v>326</v>
      </c>
      <c r="E10" s="18" t="s">
        <v>327</v>
      </c>
      <c r="F10" s="17" t="s">
        <v>328</v>
      </c>
      <c r="G10" s="17" t="s">
        <v>329</v>
      </c>
      <c r="H10" s="19"/>
      <c r="I10" s="19" t="s">
        <v>56</v>
      </c>
      <c r="J10" s="17" t="s">
        <v>330</v>
      </c>
    </row>
    <row r="11" spans="1:10" ht="25.5" x14ac:dyDescent="0.25">
      <c r="A11" s="20">
        <v>8</v>
      </c>
      <c r="B11" s="12" t="s">
        <v>331</v>
      </c>
      <c r="C11" s="21" t="s">
        <v>332</v>
      </c>
      <c r="D11" s="12" t="s">
        <v>333</v>
      </c>
      <c r="E11" s="21" t="s">
        <v>129</v>
      </c>
      <c r="F11" s="12" t="s">
        <v>334</v>
      </c>
      <c r="G11" s="12" t="s">
        <v>335</v>
      </c>
      <c r="H11" s="19"/>
      <c r="I11" s="19" t="s">
        <v>56</v>
      </c>
      <c r="J11" s="12"/>
    </row>
    <row r="12" spans="1:10" ht="51" x14ac:dyDescent="0.25">
      <c r="A12" s="16">
        <v>9</v>
      </c>
      <c r="B12" s="17" t="s">
        <v>336</v>
      </c>
      <c r="C12" s="18" t="s">
        <v>337</v>
      </c>
      <c r="D12" s="17" t="s">
        <v>338</v>
      </c>
      <c r="E12" s="18" t="s">
        <v>339</v>
      </c>
      <c r="F12" s="17" t="s">
        <v>340</v>
      </c>
      <c r="G12" s="17" t="s">
        <v>341</v>
      </c>
      <c r="H12" s="19"/>
      <c r="I12" s="19" t="s">
        <v>56</v>
      </c>
      <c r="J12" s="17" t="s">
        <v>342</v>
      </c>
    </row>
    <row r="13" spans="1:10" ht="48" x14ac:dyDescent="0.25">
      <c r="A13" s="20">
        <v>10</v>
      </c>
      <c r="B13" s="12" t="s">
        <v>343</v>
      </c>
      <c r="C13" s="21" t="s">
        <v>344</v>
      </c>
      <c r="D13" s="12" t="s">
        <v>345</v>
      </c>
      <c r="E13" s="21" t="s">
        <v>346</v>
      </c>
      <c r="F13" s="12" t="s">
        <v>347</v>
      </c>
      <c r="G13" s="12" t="s">
        <v>348</v>
      </c>
      <c r="H13" s="19"/>
      <c r="I13" s="19" t="s">
        <v>56</v>
      </c>
      <c r="J13" s="12" t="s">
        <v>349</v>
      </c>
    </row>
    <row r="14" spans="1:10" ht="48" x14ac:dyDescent="0.25">
      <c r="A14" s="16">
        <v>11</v>
      </c>
      <c r="B14" s="17" t="s">
        <v>350</v>
      </c>
      <c r="C14" s="18" t="s">
        <v>351</v>
      </c>
      <c r="D14" s="17" t="s">
        <v>352</v>
      </c>
      <c r="E14" s="18" t="s">
        <v>353</v>
      </c>
      <c r="F14" s="17" t="s">
        <v>354</v>
      </c>
      <c r="G14" s="17" t="s">
        <v>355</v>
      </c>
      <c r="H14" s="19"/>
      <c r="I14" s="19" t="s">
        <v>56</v>
      </c>
      <c r="J14" s="17" t="s">
        <v>356</v>
      </c>
    </row>
  </sheetData>
  <mergeCells count="2">
    <mergeCell ref="A1:J1"/>
    <mergeCell ref="A2:J2"/>
  </mergeCells>
  <dataValidations count="1">
    <dataValidation type="list" allowBlank="1" sqref="I4:I14" xr:uid="{00000000-0002-0000-0600-000000000000}">
      <formula1>"TODO,DONE,N/A"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5703125" defaultRowHeight="15" x14ac:dyDescent="0.25"/>
  <cols>
    <col min="1" max="1" width="5" customWidth="1"/>
    <col min="2" max="2" width="34" customWidth="1"/>
    <col min="3" max="3" width="44" customWidth="1"/>
    <col min="4" max="4" width="34" customWidth="1"/>
    <col min="5" max="5" width="30" customWidth="1"/>
    <col min="6" max="6" width="28" customWidth="1"/>
    <col min="7" max="7" width="42" customWidth="1"/>
    <col min="8" max="8" width="26" customWidth="1"/>
    <col min="9" max="9" width="9" customWidth="1"/>
    <col min="10" max="10" width="34" customWidth="1"/>
  </cols>
  <sheetData>
    <row r="1" spans="1:10" ht="16.5" x14ac:dyDescent="0.25">
      <c r="A1" s="2" t="s">
        <v>357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358</v>
      </c>
      <c r="B2" s="1"/>
      <c r="C2" s="1"/>
      <c r="D2" s="1"/>
      <c r="E2" s="1"/>
      <c r="F2" s="1"/>
      <c r="G2" s="1"/>
      <c r="H2" s="1"/>
      <c r="I2" s="1"/>
      <c r="J2" s="1"/>
    </row>
    <row r="3" spans="1:10" ht="25.5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8</v>
      </c>
      <c r="J3" s="9" t="s">
        <v>49</v>
      </c>
    </row>
    <row r="4" spans="1:10" ht="25.5" x14ac:dyDescent="0.25">
      <c r="A4" s="16">
        <v>1</v>
      </c>
      <c r="B4" s="17" t="s">
        <v>359</v>
      </c>
      <c r="C4" s="18" t="s">
        <v>360</v>
      </c>
      <c r="D4" s="17" t="s">
        <v>135</v>
      </c>
      <c r="E4" s="18" t="s">
        <v>129</v>
      </c>
      <c r="F4" s="17" t="s">
        <v>130</v>
      </c>
      <c r="G4" s="17" t="s">
        <v>361</v>
      </c>
      <c r="H4" s="19"/>
      <c r="I4" s="19" t="s">
        <v>56</v>
      </c>
      <c r="J4" s="17" t="s">
        <v>362</v>
      </c>
    </row>
    <row r="5" spans="1:10" ht="48" x14ac:dyDescent="0.25">
      <c r="A5" s="20">
        <v>2</v>
      </c>
      <c r="B5" s="12" t="s">
        <v>363</v>
      </c>
      <c r="C5" s="21" t="s">
        <v>364</v>
      </c>
      <c r="D5" s="12" t="s">
        <v>135</v>
      </c>
      <c r="E5" s="21" t="s">
        <v>129</v>
      </c>
      <c r="F5" s="12" t="s">
        <v>365</v>
      </c>
      <c r="G5" s="12" t="s">
        <v>366</v>
      </c>
      <c r="H5" s="19"/>
      <c r="I5" s="19" t="s">
        <v>56</v>
      </c>
      <c r="J5" s="12" t="s">
        <v>367</v>
      </c>
    </row>
    <row r="6" spans="1:10" x14ac:dyDescent="0.25">
      <c r="A6" s="16">
        <v>3</v>
      </c>
      <c r="B6" s="17" t="s">
        <v>368</v>
      </c>
      <c r="C6" s="18" t="s">
        <v>369</v>
      </c>
      <c r="D6" s="17" t="s">
        <v>135</v>
      </c>
      <c r="E6" s="18" t="s">
        <v>129</v>
      </c>
      <c r="F6" s="17" t="s">
        <v>129</v>
      </c>
      <c r="G6" s="17" t="s">
        <v>370</v>
      </c>
      <c r="H6" s="19"/>
      <c r="I6" s="19" t="s">
        <v>56</v>
      </c>
      <c r="J6" s="17"/>
    </row>
    <row r="7" spans="1:10" ht="25.5" x14ac:dyDescent="0.25">
      <c r="A7" s="20">
        <v>4</v>
      </c>
      <c r="B7" s="12" t="s">
        <v>371</v>
      </c>
      <c r="C7" s="21" t="s">
        <v>372</v>
      </c>
      <c r="D7" s="12" t="s">
        <v>373</v>
      </c>
      <c r="E7" s="21" t="s">
        <v>374</v>
      </c>
      <c r="F7" s="12" t="s">
        <v>375</v>
      </c>
      <c r="G7" s="12" t="s">
        <v>376</v>
      </c>
      <c r="H7" s="19"/>
      <c r="I7" s="19" t="s">
        <v>56</v>
      </c>
      <c r="J7" s="12"/>
    </row>
    <row r="8" spans="1:10" ht="25.5" x14ac:dyDescent="0.25">
      <c r="A8" s="16">
        <v>5</v>
      </c>
      <c r="B8" s="17" t="s">
        <v>377</v>
      </c>
      <c r="C8" s="18" t="s">
        <v>378</v>
      </c>
      <c r="D8" s="17" t="s">
        <v>379</v>
      </c>
      <c r="E8" s="18" t="s">
        <v>380</v>
      </c>
      <c r="F8" s="17" t="s">
        <v>381</v>
      </c>
      <c r="G8" s="17" t="s">
        <v>382</v>
      </c>
      <c r="H8" s="19"/>
      <c r="I8" s="19" t="s">
        <v>56</v>
      </c>
      <c r="J8" s="17" t="s">
        <v>383</v>
      </c>
    </row>
    <row r="9" spans="1:10" ht="48" x14ac:dyDescent="0.25">
      <c r="A9" s="20">
        <v>6</v>
      </c>
      <c r="B9" s="12" t="s">
        <v>384</v>
      </c>
      <c r="C9" s="21" t="s">
        <v>385</v>
      </c>
      <c r="D9" s="12" t="s">
        <v>386</v>
      </c>
      <c r="E9" s="21" t="s">
        <v>235</v>
      </c>
      <c r="F9" s="12" t="s">
        <v>387</v>
      </c>
      <c r="G9" s="12" t="s">
        <v>388</v>
      </c>
      <c r="H9" s="19"/>
      <c r="I9" s="19" t="s">
        <v>56</v>
      </c>
      <c r="J9" s="12" t="s">
        <v>389</v>
      </c>
    </row>
  </sheetData>
  <mergeCells count="2">
    <mergeCell ref="A1:J1"/>
    <mergeCell ref="A2:J2"/>
  </mergeCells>
  <dataValidations count="1">
    <dataValidation type="list" allowBlank="1" sqref="I4:I9" xr:uid="{00000000-0002-0000-0700-000000000000}">
      <formula1>"TODO,DONE,N/A"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5703125" defaultRowHeight="15" x14ac:dyDescent="0.25"/>
  <cols>
    <col min="1" max="1" width="5" customWidth="1"/>
    <col min="2" max="2" width="34" customWidth="1"/>
    <col min="3" max="3" width="44" customWidth="1"/>
    <col min="4" max="4" width="34" customWidth="1"/>
    <col min="5" max="5" width="30" customWidth="1"/>
    <col min="6" max="6" width="28" customWidth="1"/>
    <col min="7" max="7" width="42" customWidth="1"/>
    <col min="8" max="8" width="26" customWidth="1"/>
    <col min="9" max="9" width="9" customWidth="1"/>
    <col min="10" max="10" width="34" customWidth="1"/>
  </cols>
  <sheetData>
    <row r="1" spans="1:10" ht="16.5" x14ac:dyDescent="0.25">
      <c r="A1" s="2" t="s">
        <v>390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391</v>
      </c>
      <c r="B2" s="1"/>
      <c r="C2" s="1"/>
      <c r="D2" s="1"/>
      <c r="E2" s="1"/>
      <c r="F2" s="1"/>
      <c r="G2" s="1"/>
      <c r="H2" s="1"/>
      <c r="I2" s="1"/>
      <c r="J2" s="1"/>
    </row>
    <row r="3" spans="1:10" ht="25.5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8</v>
      </c>
      <c r="J3" s="9" t="s">
        <v>49</v>
      </c>
    </row>
    <row r="4" spans="1:10" ht="48" x14ac:dyDescent="0.25">
      <c r="A4" s="16">
        <v>1</v>
      </c>
      <c r="B4" s="17" t="s">
        <v>392</v>
      </c>
      <c r="C4" s="18" t="s">
        <v>393</v>
      </c>
      <c r="D4" s="17" t="s">
        <v>135</v>
      </c>
      <c r="E4" s="18" t="s">
        <v>129</v>
      </c>
      <c r="F4" s="17" t="s">
        <v>129</v>
      </c>
      <c r="G4" s="17" t="s">
        <v>394</v>
      </c>
      <c r="H4" s="19"/>
      <c r="I4" s="19" t="s">
        <v>56</v>
      </c>
      <c r="J4" s="17" t="s">
        <v>395</v>
      </c>
    </row>
    <row r="5" spans="1:10" ht="48" x14ac:dyDescent="0.25">
      <c r="A5" s="20">
        <v>2</v>
      </c>
      <c r="B5" s="12" t="s">
        <v>396</v>
      </c>
      <c r="C5" s="21" t="s">
        <v>397</v>
      </c>
      <c r="D5" s="12" t="s">
        <v>398</v>
      </c>
      <c r="E5" s="21" t="s">
        <v>399</v>
      </c>
      <c r="F5" s="12" t="s">
        <v>400</v>
      </c>
      <c r="G5" s="12" t="s">
        <v>401</v>
      </c>
      <c r="H5" s="19"/>
      <c r="I5" s="19" t="s">
        <v>56</v>
      </c>
      <c r="J5" s="12" t="s">
        <v>402</v>
      </c>
    </row>
    <row r="6" spans="1:10" ht="25.5" x14ac:dyDescent="0.25">
      <c r="A6" s="16">
        <v>3</v>
      </c>
      <c r="B6" s="17" t="s">
        <v>403</v>
      </c>
      <c r="C6" s="18" t="s">
        <v>404</v>
      </c>
      <c r="D6" s="17" t="s">
        <v>135</v>
      </c>
      <c r="E6" s="18" t="s">
        <v>129</v>
      </c>
      <c r="F6" s="17" t="s">
        <v>129</v>
      </c>
      <c r="G6" s="17" t="s">
        <v>405</v>
      </c>
      <c r="H6" s="19"/>
      <c r="I6" s="19" t="s">
        <v>56</v>
      </c>
      <c r="J6" s="17" t="s">
        <v>406</v>
      </c>
    </row>
    <row r="7" spans="1:10" ht="38.25" x14ac:dyDescent="0.25">
      <c r="A7" s="20">
        <v>4</v>
      </c>
      <c r="B7" s="12" t="s">
        <v>407</v>
      </c>
      <c r="C7" s="21" t="s">
        <v>408</v>
      </c>
      <c r="D7" s="12" t="s">
        <v>409</v>
      </c>
      <c r="E7" s="21" t="s">
        <v>309</v>
      </c>
      <c r="F7" s="12" t="s">
        <v>410</v>
      </c>
      <c r="G7" s="12" t="s">
        <v>411</v>
      </c>
      <c r="H7" s="19"/>
      <c r="I7" s="19" t="s">
        <v>56</v>
      </c>
      <c r="J7" s="12" t="s">
        <v>412</v>
      </c>
    </row>
    <row r="8" spans="1:10" ht="25.5" x14ac:dyDescent="0.25">
      <c r="A8" s="16">
        <v>5</v>
      </c>
      <c r="B8" s="17" t="s">
        <v>413</v>
      </c>
      <c r="C8" s="18" t="s">
        <v>414</v>
      </c>
      <c r="D8" s="17" t="s">
        <v>135</v>
      </c>
      <c r="E8" s="18" t="s">
        <v>129</v>
      </c>
      <c r="F8" s="17" t="s">
        <v>129</v>
      </c>
      <c r="G8" s="17" t="s">
        <v>415</v>
      </c>
      <c r="H8" s="19"/>
      <c r="I8" s="19" t="s">
        <v>56</v>
      </c>
      <c r="J8" s="17" t="s">
        <v>416</v>
      </c>
    </row>
  </sheetData>
  <mergeCells count="2">
    <mergeCell ref="A1:J1"/>
    <mergeCell ref="A2:J2"/>
  </mergeCells>
  <dataValidations count="1">
    <dataValidation type="list" allowBlank="1" sqref="I4:I8" xr:uid="{00000000-0002-0000-0800-000000000000}">
      <formula1>"TODO,DONE,N/A"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5703125" defaultRowHeight="15" x14ac:dyDescent="0.25"/>
  <cols>
    <col min="1" max="1" width="5" customWidth="1"/>
    <col min="2" max="2" width="34" customWidth="1"/>
    <col min="3" max="3" width="44" customWidth="1"/>
    <col min="4" max="4" width="34" customWidth="1"/>
    <col min="5" max="5" width="30" customWidth="1"/>
    <col min="6" max="6" width="28" customWidth="1"/>
    <col min="7" max="7" width="42" customWidth="1"/>
    <col min="8" max="8" width="26" customWidth="1"/>
    <col min="9" max="9" width="9" customWidth="1"/>
    <col min="10" max="10" width="34" customWidth="1"/>
  </cols>
  <sheetData>
    <row r="1" spans="1:10" ht="16.5" x14ac:dyDescent="0.25">
      <c r="A1" s="2" t="s">
        <v>417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418</v>
      </c>
      <c r="B2" s="1"/>
      <c r="C2" s="1"/>
      <c r="D2" s="1"/>
      <c r="E2" s="1"/>
      <c r="F2" s="1"/>
      <c r="G2" s="1"/>
      <c r="H2" s="1"/>
      <c r="I2" s="1"/>
      <c r="J2" s="1"/>
    </row>
    <row r="3" spans="1:10" ht="25.5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8</v>
      </c>
      <c r="J3" s="9" t="s">
        <v>49</v>
      </c>
    </row>
    <row r="4" spans="1:10" ht="24" x14ac:dyDescent="0.25">
      <c r="A4" s="16">
        <v>1</v>
      </c>
      <c r="B4" s="17" t="s">
        <v>419</v>
      </c>
      <c r="C4" s="18" t="s">
        <v>420</v>
      </c>
      <c r="D4" s="17" t="s">
        <v>421</v>
      </c>
      <c r="E4" s="18" t="s">
        <v>296</v>
      </c>
      <c r="F4" s="17" t="s">
        <v>422</v>
      </c>
      <c r="G4" s="17" t="s">
        <v>423</v>
      </c>
      <c r="H4" s="19"/>
      <c r="I4" s="19" t="s">
        <v>56</v>
      </c>
      <c r="J4" s="17"/>
    </row>
    <row r="5" spans="1:10" ht="25.5" x14ac:dyDescent="0.25">
      <c r="A5" s="20">
        <v>2</v>
      </c>
      <c r="B5" s="12" t="s">
        <v>424</v>
      </c>
      <c r="C5" s="21" t="s">
        <v>425</v>
      </c>
      <c r="D5" s="12" t="s">
        <v>426</v>
      </c>
      <c r="E5" s="21" t="s">
        <v>427</v>
      </c>
      <c r="F5" s="12" t="s">
        <v>428</v>
      </c>
      <c r="G5" s="12" t="s">
        <v>429</v>
      </c>
      <c r="H5" s="19"/>
      <c r="I5" s="19" t="s">
        <v>56</v>
      </c>
      <c r="J5" s="12"/>
    </row>
    <row r="6" spans="1:10" ht="51" x14ac:dyDescent="0.25">
      <c r="A6" s="16">
        <v>3</v>
      </c>
      <c r="B6" s="17" t="s">
        <v>430</v>
      </c>
      <c r="C6" s="18" t="s">
        <v>431</v>
      </c>
      <c r="D6" s="17" t="s">
        <v>326</v>
      </c>
      <c r="E6" s="18" t="s">
        <v>432</v>
      </c>
      <c r="F6" s="17" t="s">
        <v>328</v>
      </c>
      <c r="G6" s="17" t="s">
        <v>433</v>
      </c>
      <c r="H6" s="19"/>
      <c r="I6" s="19" t="s">
        <v>56</v>
      </c>
      <c r="J6" s="17" t="s">
        <v>434</v>
      </c>
    </row>
    <row r="7" spans="1:10" ht="36" x14ac:dyDescent="0.25">
      <c r="A7" s="20">
        <v>4</v>
      </c>
      <c r="B7" s="12" t="s">
        <v>435</v>
      </c>
      <c r="C7" s="21" t="s">
        <v>436</v>
      </c>
      <c r="D7" s="12" t="s">
        <v>437</v>
      </c>
      <c r="E7" s="21" t="s">
        <v>438</v>
      </c>
      <c r="F7" s="12" t="s">
        <v>340</v>
      </c>
      <c r="G7" s="12" t="s">
        <v>439</v>
      </c>
      <c r="H7" s="19"/>
      <c r="I7" s="19" t="s">
        <v>56</v>
      </c>
      <c r="J7" s="12"/>
    </row>
    <row r="8" spans="1:10" ht="36" x14ac:dyDescent="0.25">
      <c r="A8" s="16">
        <v>5</v>
      </c>
      <c r="B8" s="17" t="s">
        <v>440</v>
      </c>
      <c r="C8" s="18" t="s">
        <v>441</v>
      </c>
      <c r="D8" s="17" t="s">
        <v>442</v>
      </c>
      <c r="E8" s="18" t="s">
        <v>443</v>
      </c>
      <c r="F8" s="17" t="s">
        <v>444</v>
      </c>
      <c r="G8" s="17" t="s">
        <v>445</v>
      </c>
      <c r="H8" s="19"/>
      <c r="I8" s="19" t="s">
        <v>56</v>
      </c>
      <c r="J8" s="17" t="s">
        <v>446</v>
      </c>
    </row>
    <row r="9" spans="1:10" ht="25.5" x14ac:dyDescent="0.25">
      <c r="A9" s="20">
        <v>6</v>
      </c>
      <c r="B9" s="12" t="s">
        <v>447</v>
      </c>
      <c r="C9" s="21" t="s">
        <v>448</v>
      </c>
      <c r="D9" s="12" t="s">
        <v>449</v>
      </c>
      <c r="E9" s="21" t="s">
        <v>450</v>
      </c>
      <c r="F9" s="12" t="s">
        <v>451</v>
      </c>
      <c r="G9" s="12" t="s">
        <v>452</v>
      </c>
      <c r="H9" s="19"/>
      <c r="I9" s="19" t="s">
        <v>56</v>
      </c>
      <c r="J9" s="12" t="s">
        <v>453</v>
      </c>
    </row>
  </sheetData>
  <mergeCells count="2">
    <mergeCell ref="A1:J1"/>
    <mergeCell ref="A2:J2"/>
  </mergeCells>
  <dataValidations count="1">
    <dataValidation type="list" allowBlank="1" sqref="I4:I9" xr:uid="{00000000-0002-0000-0900-000000000000}">
      <formula1>"TODO,DONE,N/A"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5703125" defaultRowHeight="15" x14ac:dyDescent="0.25"/>
  <cols>
    <col min="1" max="1" width="5" customWidth="1"/>
    <col min="2" max="2" width="34" customWidth="1"/>
    <col min="3" max="3" width="44" customWidth="1"/>
    <col min="4" max="4" width="34" customWidth="1"/>
    <col min="5" max="5" width="30" customWidth="1"/>
    <col min="6" max="6" width="28" customWidth="1"/>
    <col min="7" max="7" width="42" customWidth="1"/>
    <col min="8" max="8" width="26" customWidth="1"/>
    <col min="9" max="9" width="9" customWidth="1"/>
    <col min="10" max="10" width="34" customWidth="1"/>
  </cols>
  <sheetData>
    <row r="1" spans="1:10" ht="16.5" x14ac:dyDescent="0.25">
      <c r="A1" s="2" t="s">
        <v>454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455</v>
      </c>
      <c r="B2" s="1"/>
      <c r="C2" s="1"/>
      <c r="D2" s="1"/>
      <c r="E2" s="1"/>
      <c r="F2" s="1"/>
      <c r="G2" s="1"/>
      <c r="H2" s="1"/>
      <c r="I2" s="1"/>
      <c r="J2" s="1"/>
    </row>
    <row r="3" spans="1:10" ht="25.5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8</v>
      </c>
      <c r="J3" s="9" t="s">
        <v>49</v>
      </c>
    </row>
    <row r="4" spans="1:10" ht="25.5" x14ac:dyDescent="0.25">
      <c r="A4" s="16">
        <v>1</v>
      </c>
      <c r="B4" s="17" t="s">
        <v>456</v>
      </c>
      <c r="C4" s="18" t="s">
        <v>457</v>
      </c>
      <c r="D4" s="17" t="s">
        <v>135</v>
      </c>
      <c r="E4" s="18" t="s">
        <v>129</v>
      </c>
      <c r="F4" s="17" t="s">
        <v>129</v>
      </c>
      <c r="G4" s="17" t="s">
        <v>458</v>
      </c>
      <c r="H4" s="19"/>
      <c r="I4" s="19" t="s">
        <v>56</v>
      </c>
      <c r="J4" s="17"/>
    </row>
    <row r="5" spans="1:10" x14ac:dyDescent="0.25">
      <c r="A5" s="20">
        <v>2</v>
      </c>
      <c r="B5" s="12" t="s">
        <v>459</v>
      </c>
      <c r="C5" s="21" t="s">
        <v>460</v>
      </c>
      <c r="D5" s="12" t="s">
        <v>135</v>
      </c>
      <c r="E5" s="21" t="s">
        <v>129</v>
      </c>
      <c r="F5" s="12" t="s">
        <v>129</v>
      </c>
      <c r="G5" s="12" t="s">
        <v>461</v>
      </c>
      <c r="H5" s="19"/>
      <c r="I5" s="19" t="s">
        <v>56</v>
      </c>
      <c r="J5" s="12"/>
    </row>
    <row r="6" spans="1:10" ht="24" x14ac:dyDescent="0.25">
      <c r="A6" s="16">
        <v>3</v>
      </c>
      <c r="B6" s="17" t="s">
        <v>462</v>
      </c>
      <c r="C6" s="18" t="s">
        <v>463</v>
      </c>
      <c r="D6" s="17" t="s">
        <v>135</v>
      </c>
      <c r="E6" s="18" t="s">
        <v>129</v>
      </c>
      <c r="F6" s="17" t="s">
        <v>129</v>
      </c>
      <c r="G6" s="17" t="s">
        <v>464</v>
      </c>
      <c r="H6" s="19"/>
      <c r="I6" s="19" t="s">
        <v>56</v>
      </c>
      <c r="J6" s="17"/>
    </row>
    <row r="7" spans="1:10" x14ac:dyDescent="0.25">
      <c r="A7" s="20">
        <v>4</v>
      </c>
      <c r="B7" s="12" t="s">
        <v>465</v>
      </c>
      <c r="C7" s="21" t="s">
        <v>466</v>
      </c>
      <c r="D7" s="12" t="s">
        <v>135</v>
      </c>
      <c r="E7" s="21" t="s">
        <v>129</v>
      </c>
      <c r="F7" s="12" t="s">
        <v>129</v>
      </c>
      <c r="G7" s="12" t="s">
        <v>467</v>
      </c>
      <c r="H7" s="19"/>
      <c r="I7" s="19" t="s">
        <v>56</v>
      </c>
      <c r="J7" s="12"/>
    </row>
    <row r="8" spans="1:10" ht="36" x14ac:dyDescent="0.25">
      <c r="A8" s="16">
        <v>5</v>
      </c>
      <c r="B8" s="17" t="s">
        <v>468</v>
      </c>
      <c r="C8" s="18" t="s">
        <v>469</v>
      </c>
      <c r="D8" s="17" t="s">
        <v>135</v>
      </c>
      <c r="E8" s="18" t="s">
        <v>129</v>
      </c>
      <c r="F8" s="17" t="s">
        <v>130</v>
      </c>
      <c r="G8" s="17" t="s">
        <v>470</v>
      </c>
      <c r="H8" s="19"/>
      <c r="I8" s="19" t="s">
        <v>56</v>
      </c>
      <c r="J8" s="17" t="s">
        <v>471</v>
      </c>
    </row>
    <row r="9" spans="1:10" ht="36" x14ac:dyDescent="0.25">
      <c r="A9" s="20">
        <v>6</v>
      </c>
      <c r="B9" s="12" t="s">
        <v>472</v>
      </c>
      <c r="C9" s="21" t="s">
        <v>473</v>
      </c>
      <c r="D9" s="12" t="s">
        <v>474</v>
      </c>
      <c r="E9" s="21" t="s">
        <v>475</v>
      </c>
      <c r="F9" s="12" t="s">
        <v>213</v>
      </c>
      <c r="G9" s="12" t="s">
        <v>476</v>
      </c>
      <c r="H9" s="19"/>
      <c r="I9" s="19" t="s">
        <v>56</v>
      </c>
      <c r="J9" s="12" t="s">
        <v>477</v>
      </c>
    </row>
    <row r="10" spans="1:10" ht="38.25" x14ac:dyDescent="0.25">
      <c r="A10" s="16">
        <v>7</v>
      </c>
      <c r="B10" s="17" t="s">
        <v>478</v>
      </c>
      <c r="C10" s="18" t="s">
        <v>479</v>
      </c>
      <c r="D10" s="17" t="s">
        <v>480</v>
      </c>
      <c r="E10" s="18" t="s">
        <v>481</v>
      </c>
      <c r="F10" s="17" t="s">
        <v>482</v>
      </c>
      <c r="G10" s="17" t="s">
        <v>483</v>
      </c>
      <c r="H10" s="19"/>
      <c r="I10" s="19" t="s">
        <v>56</v>
      </c>
      <c r="J10" s="17" t="s">
        <v>484</v>
      </c>
    </row>
    <row r="11" spans="1:10" ht="25.5" x14ac:dyDescent="0.25">
      <c r="A11" s="20">
        <v>8</v>
      </c>
      <c r="B11" s="12" t="s">
        <v>485</v>
      </c>
      <c r="C11" s="21" t="s">
        <v>486</v>
      </c>
      <c r="D11" s="12" t="s">
        <v>135</v>
      </c>
      <c r="E11" s="21" t="s">
        <v>129</v>
      </c>
      <c r="F11" s="12" t="s">
        <v>487</v>
      </c>
      <c r="G11" s="12" t="s">
        <v>488</v>
      </c>
      <c r="H11" s="19"/>
      <c r="I11" s="19" t="s">
        <v>56</v>
      </c>
      <c r="J11" s="12" t="s">
        <v>489</v>
      </c>
    </row>
  </sheetData>
  <mergeCells count="2">
    <mergeCell ref="A1:J1"/>
    <mergeCell ref="A2:J2"/>
  </mergeCells>
  <dataValidations count="1">
    <dataValidation type="list" allowBlank="1" sqref="I4:I11" xr:uid="{00000000-0002-0000-0A00-000000000000}">
      <formula1>"TODO,DONE,N/A"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0-Prerequisites</vt:lpstr>
      <vt:lpstr>1-VPS-Provision</vt:lpstr>
      <vt:lpstr>2-Hermes-Install</vt:lpstr>
      <vt:lpstr>3-Stack-Config</vt:lpstr>
      <vt:lpstr>4-TLS-Caddy</vt:lpstr>
      <vt:lpstr>5-HubSpot-Interop</vt:lpstr>
      <vt:lpstr>6-Agent-Seed</vt:lpstr>
      <vt:lpstr>7-Validation</vt:lpstr>
      <vt:lpstr>8-Prod-Cutover</vt:lpstr>
      <vt:lpstr>9-Operations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Anthony Yao-Bama</cp:lastModifiedBy>
  <cp:revision>0</cp:revision>
  <dcterms:created xsi:type="dcterms:W3CDTF">2026-09-25T10:43:37Z</dcterms:created>
  <dcterms:modified xsi:type="dcterms:W3CDTF">2026-09-25T11:05:48Z</dcterms:modified>
  <dc:language>en-US</dc:language>
</cp:coreProperties>
</file>